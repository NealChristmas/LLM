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3f691ad5c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粗略估算" sheetId="1" r:id="Rccab867bcaf44a38"/>
    <x:sheet xmlns:r="http://schemas.openxmlformats.org/officeDocument/2006/relationships" name="填写与核算" sheetId="2" r:id="Rc6462877a82e474c"/>
    <x:sheet xmlns:r="http://schemas.openxmlformats.org/officeDocument/2006/relationships" name="硬件与依据" sheetId="3" r:id="R0de0412cfd80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0%"/>
    <x:numFmt numFmtId="203" formatCode="0.0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sz val="11"/>
      <x:color rgb="FF174B91"/>
      <x:name val="Arial"/>
    </x:font>
    <x:font>
      <x:b/>
      <x:sz val="14"/>
      <x:color rgb="FF24324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63F60"/>
      </x:patternFill>
    </x:fill>
    <x:fill>
      <x:patternFill patternType="solid">
        <x:fgColor rgb="FFFFF0BF"/>
      </x:patternFill>
    </x:fill>
    <x:fill>
      <x:patternFill patternType="solid">
        <x:fgColor rgb="FFE2ECF7"/>
      </x:patternFill>
    </x:fill>
    <x:fill>
      <x:patternFill patternType="solid">
        <x:fgColor rgb="FFEDF0F4"/>
      </x:patternFill>
    </x:fill>
    <x:fill>
      <x:patternFill patternType="solid">
        <x:fgColor rgb="FFF1F4F8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202" fontId="4" fillId="7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C331F"/>
      </x:font>
      <x:fill>
        <x:patternFill patternType="solid">
          <x:bgColor rgb="FFFCE2D9"/>
        </x:patternFill>
      </x:fill>
    </x:dxf>
    <x:dxf>
      <x:font>
        <x:color rgb="FF9C331F"/>
      </x:font>
      <x:fill>
        <x:patternFill patternType="solid">
          <x:bgColor rgb="FFFCE2D9"/>
        </x:patternFill>
      </x:fill>
    </x:dxf>
    <x:dxf>
      <x:font>
        <x:color rgb="FF9C331F"/>
      </x:font>
      <x:fill>
        <x:patternFill patternType="solid">
          <x:bgColor rgb="FFFCE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aa457e9c94092" /><Relationship Type="http://schemas.openxmlformats.org/officeDocument/2006/relationships/theme" Target="/xl/theme/theme1.xml" Id="R43fad9bcc1cc4c1c" /><Relationship Type="http://schemas.openxmlformats.org/officeDocument/2006/relationships/sharedStrings" Target="/xl/sharedStrings.xml" Id="R76c9b663d0ab407f" /><Relationship Type="http://schemas.openxmlformats.org/officeDocument/2006/relationships/worksheet" Target="/xl/worksheets/sheet1.xml" Id="Rccab867bcaf44a38" /><Relationship Type="http://schemas.openxmlformats.org/officeDocument/2006/relationships/worksheet" Target="/xl/worksheets/sheet2.xml" Id="Rc6462877a82e474c" /><Relationship Type="http://schemas.openxmlformats.org/officeDocument/2006/relationships/worksheet" Target="/xl/worksheets/sheet3.xml" Id="R0de0412cfd8041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9" hidden="0" customWidth="1"/>
    <x:col min="3" max="3" width="13" hidden="0" customWidth="1"/>
    <x:col min="4" max="4" width="86" hidden="0" customWidth="1"/>
  </x:cols>
  <x:sheetData>
    <x:row r="1" ht="32" customHeight="1">
      <x:c r="A1" s="2"/>
      <x:c r="B1" s="2"/>
      <x:c r="C1" s="2"/>
      <x:c r="D1" s="3"/>
    </x:row>
    <x:row r="2" ht="32" customHeight="1">
      <x:c r="A2" s="4" t="str">
        <x:v>调压站智能体计算卡粗估</x:v>
      </x:c>
      <x:c r="B2" s="2"/>
      <x:c r="C2" s="2"/>
      <x:c r="D2" s="3" t="str">
        <x:v>版本2.0。所有输入已预填，改两项业务规模即可。适用于初步预算。</x:v>
      </x:c>
    </x:row>
    <x:row r="3" ht="32" customHeight="1">
      <x:c r="A3" s="2" t="str">
        <x:v>黄色填业务，蓝色可用默认</x:v>
      </x:c>
      <x:c r="B3" s="2"/>
      <x:c r="C3" s="2"/>
      <x:c r="D3" s="3" t="str">
        <x:v>默认规模只是示例。无须模型结构参数或压测报告，结果使用下方可修改的能力假设。</x:v>
      </x:c>
    </x:row>
    <x:row r="4" ht="32" customHeight="1">
      <x:c r="A4" s="2"/>
      <x:c r="B4" s="2"/>
      <x:c r="C4" s="2"/>
      <x:c r="D4" s="3"/>
    </x:row>
    <x:row r="5" ht="32" customHeight="1">
      <x:c r="A5" s="7" t="str">
        <x:v>自动估算结果</x:v>
      </x:c>
      <x:c r="B5" s="7"/>
      <x:c r="C5" s="7"/>
      <x:c r="D5" s="8"/>
    </x:row>
    <x:row r="6" ht="32" customHeight="1">
      <x:c r="A6" s="2" t="str">
        <x:v>初步预算计算卡数</x:v>
      </x:c>
      <x:c r="B6" s="12" t="n">
        <x:f>IF(B31="参数有效",B41,"请填写有效数值")</x:f>
        <x:v>4</x:v>
      </x:c>
      <x:c r="C6" s="2" t="str">
        <x:v>张</x:v>
      </x:c>
      <x:c r="D6" s="3" t="str">
        <x:v>含主模型工作卡、默认1组在线备用及单列辅助卡。按假设估算，不代表实测能力。</x:v>
      </x:c>
    </x:row>
    <x:row r="7" ht="32" customHeight="1">
      <x:c r="A7" s="2" t="str">
        <x:v>主模型工作卡数</x:v>
      </x:c>
      <x:c r="B7" s="12" t="n">
        <x:f>IF(B31="参数有效",B40*B37,"待填写")</x:f>
        <x:v>3</x:v>
      </x:c>
      <x:c r="C7" s="2" t="str">
        <x:v>张</x:v>
      </x:c>
      <x:c r="D7" s="3" t="str">
        <x:v>工作副本数 × 每副本卡数，不含备用。</x:v>
      </x:c>
    </x:row>
    <x:row r="8" ht="32" customHeight="1">
      <x:c r="A8" s="2" t="str">
        <x:v>每个模型副本使用卡数</x:v>
      </x:c>
      <x:c r="B8" s="12" t="n">
        <x:f>IF(B31="参数有效",B37,"待填写")</x:f>
        <x:v>1</x:v>
      </x:c>
      <x:c r="C8" s="2" t="str">
        <x:v>张</x:v>
      </x:c>
      <x:c r="D8" s="3" t="str">
        <x:v>按内存预算自动估算为1、2、4、8等卡分组，实际并行支持仍须选型时确认。</x:v>
      </x:c>
    </x:row>
    <x:row r="9" ht="32" customHeight="1">
      <x:c r="A9" s="2" t="str">
        <x:v>服务器装箱规划</x:v>
      </x:c>
      <x:c r="B9" s="12" t="n">
        <x:f>IF(B31="参数有效",B42,"待填写")</x:f>
        <x:v>1</x:v>
      </x:c>
      <x:c r="C9" s="2" t="str">
        <x:v>台</x:v>
      </x:c>
      <x:c r="D9" s="3" t="str">
        <x:v>主模型按完整副本装箱，辅助卡另配服务器。若要求整机容灾，另做故障域规划。</x:v>
      </x:c>
    </x:row>
    <x:row r="10" ht="32" customHeight="1">
      <x:c r="A10" s="2" t="str">
        <x:v>估算口径</x:v>
      </x:c>
      <x:c r="B10" s="3" t="str">
        <x:f>IF(B31="参数有效","初步预算估算，默认能力未实测",B31)</x:f>
        <x:v>初步预算估算，默认能力未实测</x:v>
      </x:c>
      <x:c r="C10" s="2"/>
      <x:c r="D10" s="3" t="str">
        <x:v>4路并发、每分钟10次模型调用是可修改的预算占位假设，未经过华为硬件实测。</x:v>
      </x:c>
    </x:row>
    <x:row r="11" ht="32" customHeight="1">
      <x:c r="A11" s="2"/>
      <x:c r="B11" s="2"/>
      <x:c r="C11" s="2"/>
      <x:c r="D11" s="3"/>
    </x:row>
    <x:row r="12" ht="32" customHeight="1">
      <x:c r="A12" s="7" t="str">
        <x:v>客户优先调整这两项，其余可先用默认值</x:v>
      </x:c>
      <x:c r="B12" s="7"/>
      <x:c r="C12" s="7"/>
      <x:c r="D12" s="8"/>
    </x:row>
    <x:row r="13" ht="32" customHeight="1">
      <x:c r="A13" s="2" t="str">
        <x:v>项目名称</x:v>
      </x:c>
      <x:c r="B13" s="21" t="str">
        <x:v>调压站智能体</x:v>
      </x:c>
      <x:c r="C13" s="2" t="str">
        <x:v>文本</x:v>
      </x:c>
      <x:c r="D13" s="3" t="str">
        <x:v>可修改，不参与计算。</x:v>
      </x:c>
    </x:row>
    <x:row r="14" ht="32" customHeight="1">
      <x:c r="A14" s="2" t="str">
        <x:v>高峰同时处理的任务数</x:v>
      </x:c>
      <x:c r="B14" s="10" t="n">
        <x:v>10</x:v>
      </x:c>
      <x:c r="C14" s="2" t="str">
        <x:v>个</x:v>
      </x:c>
      <x:c r="D14" s="3" t="str">
        <x:v>业务任务并发。默认同一任务内模型调用依次执行；若有并行分支，请按同时调用数折算。</x:v>
      </x:c>
    </x:row>
    <x:row r="15" ht="32" customHeight="1">
      <x:c r="A15" s="2" t="str">
        <x:v>高峰每分钟业务请求数</x:v>
      </x:c>
      <x:c r="B15" s="10" t="n">
        <x:v>2</x:v>
      </x:c>
      <x:c r="C15" s="2" t="str">
        <x:v>次/分钟</x:v>
      </x:c>
      <x:c r="D15" s="3" t="str">
        <x:v>告警诊断、问答、报告等总请求。未知时可先保留2，结果只代表该示例规模。</x:v>
      </x:c>
    </x:row>
    <x:row r="16" ht="32" customHeight="1">
      <x:c r="A16" s="2"/>
      <x:c r="B16" s="2"/>
      <x:c r="C16" s="2"/>
      <x:c r="D16" s="3"/>
    </x:row>
    <x:row r="17" ht="32" customHeight="1">
      <x:c r="A17" s="7" t="str">
        <x:v>默认配置（不熟悉时可以保留，知道实际情况再改）</x:v>
      </x:c>
      <x:c r="B17" s="7"/>
      <x:c r="C17" s="7"/>
      <x:c r="D17" s="8"/>
    </x:row>
    <x:row r="18" ht="32" customHeight="1">
      <x:c r="A18" s="2" t="str">
        <x:v>模型参数档位</x:v>
      </x:c>
      <x:c r="B18" s="21" t="str">
        <x:v>14B</x:v>
      </x:c>
      <x:c r="C18" s="2" t="str">
        <x:v>选项</x:v>
      </x:c>
      <x:c r="D18" s="3" t="str">
        <x:v>7B、14B、32B、70B，默认14B是预算场景。具体模型与质量另行选型。</x:v>
      </x:c>
    </x:row>
    <x:row r="19" ht="32" customHeight="1">
      <x:c r="A19" s="2" t="str">
        <x:v>单次调用总上下文长度</x:v>
      </x:c>
      <x:c r="B19" s="21" t="n">
        <x:v>5120</x:v>
      </x:c>
      <x:c r="C19" s="2" t="str">
        <x:v>Token</x:v>
      </x:c>
      <x:c r="D19" s="3" t="str">
        <x:v>默认输入4096 + 输出1024，含历史、规程材料与工具返回。</x:v>
      </x:c>
    </x:row>
    <x:row r="20" ht="32" customHeight="1">
      <x:c r="A20" s="2" t="str">
        <x:v>每个业务的模型调用次数</x:v>
      </x:c>
      <x:c r="B20" s="21" t="n">
        <x:v>3</x:v>
      </x:c>
      <x:c r="C20" s="2" t="str">
        <x:v>次</x:v>
      </x:c>
      <x:c r="D20" s="3" t="str">
        <x:v>默认依次进行分析、工具后再分析、回答等3次调用；重试如需计入也加到这里。</x:v>
      </x:c>
    </x:row>
    <x:row r="21" ht="32" customHeight="1">
      <x:c r="A21" s="2" t="str">
        <x:v>每副本规划活动并发</x:v>
      </x:c>
      <x:c r="B21" s="21" t="n">
        <x:v>4</x:v>
      </x:c>
      <x:c r="C21" s="2" t="str">
        <x:v>路</x:v>
      </x:c>
      <x:c r="D21" s="3" t="str">
        <x:v>预算假设，未实测；不会因卡数增加而自动提高。</x:v>
      </x:c>
    </x:row>
    <x:row r="22" ht="32" customHeight="1">
      <x:c r="A22" s="2" t="str">
        <x:v>每副本规划模型调用吞吐</x:v>
      </x:c>
      <x:c r="B22" s="21" t="n">
        <x:v>10</x:v>
      </x:c>
      <x:c r="C22" s="2" t="str">
        <x:v>次/分钟</x:v>
      </x:c>
      <x:c r="D22" s="3" t="str">
        <x:v>预算假设，未实测；与上项一起约束副本数，知道供应商能力时直接替换。</x:v>
      </x:c>
    </x:row>
    <x:row r="23" ht="32" customHeight="1">
      <x:c r="A23" s="2" t="str">
        <x:v>每张物理卡总内存</x:v>
      </x:c>
      <x:c r="B23" s="21" t="n">
        <x:v>64</x:v>
      </x:c>
      <x:c r="C23" s="2" t="str">
        <x:v>GB</x:v>
      </x:c>
      <x:c r="D23" s="3" t="str">
        <x:v>默认64GB级单芯片卡预算场景。按十进制GB换算，双芯片卡需同时修改下一项。</x:v>
      </x:c>
    </x:row>
    <x:row r="24" ht="32" customHeight="1">
      <x:c r="A24" s="2" t="str">
        <x:v>每张物理卡芯片数</x:v>
      </x:c>
      <x:c r="B24" s="21" t="n">
        <x:v>1</x:v>
      </x:c>
      <x:c r="C24" s="2" t="str">
        <x:v>个</x:v>
      </x:c>
      <x:c r="D24" s="3" t="str">
        <x:v>默认1；Duo为2，填的是整卡总内存，不把双芯片当成连续内存。</x:v>
      </x:c>
    </x:row>
    <x:row r="25" ht="32" customHeight="1">
      <x:c r="A25" s="2" t="str">
        <x:v>业务增长余量</x:v>
      </x:c>
      <x:c r="B25" s="22" t="n">
        <x:v>0.2</x:v>
      </x:c>
      <x:c r="C25" s="2" t="str">
        <x:v>比例</x:v>
      </x:c>
      <x:c r="D25" s="3" t="str">
        <x:v>默认20%，同时增加并发与请求量。</x:v>
      </x:c>
    </x:row>
    <x:row r="26" ht="32" customHeight="1">
      <x:c r="A26" s="2" t="str">
        <x:v>在线备用模型副本</x:v>
      </x:c>
      <x:c r="B26" s="21" t="n">
        <x:v>1</x:v>
      </x:c>
      <x:c r="C26" s="2" t="str">
        <x:v>组</x:v>
      </x:c>
      <x:c r="D26" s="3" t="str">
        <x:v>默认1。不要求备用可改0，备用不自动保证整机容灾。</x:v>
      </x:c>
    </x:row>
    <x:row r="27" ht="32" customHeight="1">
      <x:c r="A27" s="2" t="str">
        <x:v>辅助服务额外计算卡</x:v>
      </x:c>
      <x:c r="B27" s="21" t="n">
        <x:v>0</x:v>
      </x:c>
      <x:c r="C27" s="2" t="str">
        <x:v>张</x:v>
      </x:c>
      <x:c r="D27" s="3" t="str">
        <x:v>默认Embedding/Reranker走CPU或不另占卡。独立视觉、语音等用卡在此追加。</x:v>
      </x:c>
    </x:row>
    <x:row r="28" ht="32" customHeight="1">
      <x:c r="A28" s="2" t="str">
        <x:v>每台服务器允许装卡数</x:v>
      </x:c>
      <x:c r="B28" s="21" t="n">
        <x:v>8</x:v>
      </x:c>
      <x:c r="C28" s="2" t="str">
        <x:v>张</x:v>
      </x:c>
      <x:c r="D28" s="3" t="str">
        <x:v>仅用于服务器数量估算，最终按机箱、互联和整机BOM确认。</x:v>
      </x:c>
    </x:row>
    <x:row r="29" ht="32" customHeight="1">
      <x:c r="A29" s="2"/>
      <x:c r="B29" s="2"/>
      <x:c r="C29" s="2"/>
      <x:c r="D29" s="3"/>
    </x:row>
    <x:row r="30" ht="32" customHeight="1">
      <x:c r="A30" s="7" t="str">
        <x:v>自动计算过程（无须填写）</x:v>
      </x:c>
      <x:c r="B30" s="7"/>
      <x:c r="C30" s="7"/>
      <x:c r="D30" s="8"/>
    </x:row>
    <x:row r="31" ht="32" customHeight="1">
      <x:c r="A31" s="2" t="str">
        <x:v>输入检查</x:v>
      </x:c>
      <x:c r="B31" s="14" t="str">
        <x:f>IF(OR(NOT(ISNUMBER(B14)),NOT(ISNUMBER(B15)),NOT(ISNUMBER(B19)),NOT(ISNUMBER(B20)),NOT(ISNUMBER(B21)),NOT(ISNUMBER(B22)),NOT(ISNUMBER(B23)),NOT(ISNUMBER(B24)),NOT(ISNUMBER(B25)),NOT(ISNUMBER(B26)),NOT(ISNUMBER(B27)),NOT(ISNUMBER(B28))),"请填写有效数值",IF(OR(B14&lt;0,B15&lt;0,MIN(B19:B24)&lt;=0,B25&lt;0,B26&lt;0,B27&lt;0,B28&lt;1,B14&lt;&gt;INT(B14),B19&lt;&gt;INT(B19),B21&lt;&gt;INT(B21),B24&lt;&gt;INT(B24),B26&lt;&gt;INT(B26),B27&lt;&gt;INT(B27),B28&lt;&gt;INT(B28),B23*10^9/2^30*'硬件与依据'!B28-'硬件与依据'!B29*B24&lt;=0),"请修正数值范围",IF(OR(B18="7B",B18="14B",B18="32B",B18="70B"),"参数有效","请选择有效模型档位")))</x:f>
        <x:v>参数有效</x:v>
      </x:c>
      <x:c r="C31" s="2"/>
      <x:c r="D31" s="3" t="str">
        <x:v>核心数值无效时不输出预算数量。业务规模允许0，模型服务仍至少常驻1组。</x:v>
      </x:c>
    </x:row>
    <x:row r="32" ht="32" customHeight="1">
      <x:c r="A32" s="2" t="str">
        <x:v>模型总参数量</x:v>
      </x:c>
      <x:c r="B32" s="14" t="n">
        <x:f>IF(B31="参数有效",INDEX('硬件与依据'!B20:B23,MATCH(B18,'硬件与依据'!A20:A23,0)),"待填写")</x:f>
        <x:v>14</x:v>
      </x:c>
      <x:c r="C32" s="2" t="str">
        <x:v>B</x:v>
      </x:c>
      <x:c r="D32" s="3" t="str">
        <x:v>跟随模型档位，不要求填写层数、头数。</x:v>
      </x:c>
    </x:row>
    <x:row r="33" ht="32" customHeight="1">
      <x:c r="A33" s="2" t="str">
        <x:v>每Token KV粗估预算</x:v>
      </x:c>
      <x:c r="B33" s="14" t="n">
        <x:f>IF(B31="参数有效",INDEX('硬件与依据'!C20:C23,MATCH(B18,'硬件与依据'!A20:A23,0)),"待填写")</x:f>
        <x:v>160</x:v>
      </x:c>
      <x:c r="C33" s="2" t="str">
        <x:v>KiB</x:v>
      </x:c>
      <x:c r="D33" s="3" t="str">
        <x:v>通用档位假设，可在“硬件与依据”修改。不是具体模型的配置参数。</x:v>
      </x:c>
    </x:row>
    <x:row r="34" ht="32" customHeight="1">
      <x:c r="A34" s="2" t="str">
        <x:v>单副本权重内存</x:v>
      </x:c>
      <x:c r="B34" s="23" t="n">
        <x:f>IF(B31="参数有效",B32*10^9*'硬件与依据'!B26*(1+'硬件与依据'!B27)/2^30,"待填写")</x:f>
        <x:v>28.684735298156742</x:v>
      </x:c>
      <x:c r="C34" s="2" t="str">
        <x:v>GiB</x:v>
      </x:c>
      <x:c r="D34" s="3" t="str">
        <x:v>参数 × 2字节 × 1.1，按FP16/BF16预留10%开销。</x:v>
      </x:c>
    </x:row>
    <x:row r="35" ht="32" customHeight="1">
      <x:c r="A35" s="2" t="str">
        <x:v>单序列KV缓存</x:v>
      </x:c>
      <x:c r="B35" s="23" t="n">
        <x:f>IF(B31="参数有效",B33*1024*B19*'硬件与依据'!B30/2^30,"待填写")</x:f>
        <x:v>0.9375</x:v>
      </x:c>
      <x:c r="C35" s="2" t="str">
        <x:v>GiB</x:v>
      </x:c>
      <x:c r="D35" s="3" t="str">
        <x:v>每Token预算 × 上下文长度，再预留20%缓存开销。</x:v>
      </x:c>
    </x:row>
    <x:row r="36" ht="32" customHeight="1">
      <x:c r="A36" s="2" t="str">
        <x:v>每卡扣除运行时后的内存</x:v>
      </x:c>
      <x:c r="B36" s="23" t="n">
        <x:f>IF(B31="参数有效",B23*10^9/2^30*'硬件与依据'!B28-'硬件与依据'!B29*B24,"待填写")</x:f>
        <x:v>44.66394805908203</x:v>
      </x:c>
      <x:c r="C36" s="2" t="str">
        <x:v>GiB</x:v>
      </x:c>
      <x:c r="D36" s="3" t="str">
        <x:v>整卡GB转换GiB × 85% − 每芯片6GiB运行时预算。</x:v>
      </x:c>
    </x:row>
    <x:row r="37" ht="32" customHeight="1">
      <x:c r="A37" s="2" t="str">
        <x:v>每副本分组卡数</x:v>
      </x:c>
      <x:c r="B37" s="14" t="n">
        <x:f>IF(B31="参数有效",2^ROUNDUP(LOG(MAX(1,(B34+B35*B21)/B36),2),0),"待填写")</x:f>
        <x:v>1</x:v>
      </x:c>
      <x:c r="C37" s="2" t="str">
        <x:v>张</x:v>
      </x:c>
      <x:c r="D37" s="3" t="str">
        <x:v>权重 + 规划并发KV，除以每卡内存，向上取1、2、4、8等；预算上假设可切分。</x:v>
      </x:c>
    </x:row>
    <x:row r="38" ht="32" customHeight="1">
      <x:c r="A38" s="2" t="str">
        <x:v>规划活动并发</x:v>
      </x:c>
      <x:c r="B38" s="14" t="n">
        <x:f>IF(B31="参数有效",ROUNDUP(B14*(1+B25),0),"待填写")</x:f>
        <x:v>12</x:v>
      </x:c>
      <x:c r="C38" s="2" t="str">
        <x:v>路</x:v>
      </x:c>
      <x:c r="D38" s="3" t="str">
        <x:v>高峰任务数 × 1.2，向上取整，默认无任务内并行。</x:v>
      </x:c>
    </x:row>
    <x:row r="39" ht="32" customHeight="1">
      <x:c r="A39" s="2" t="str">
        <x:v>规划模型调用量</x:v>
      </x:c>
      <x:c r="B39" s="23" t="n">
        <x:f>IF(B31="参数有效",B15*B20*(1+B25),"待填写")</x:f>
        <x:v>7.199999999999999</x:v>
      </x:c>
      <x:c r="C39" s="2" t="str">
        <x:v>次/分钟</x:v>
      </x:c>
      <x:c r="D39" s="3" t="str">
        <x:v>高峰业务请求数 × 每业务调用次数 × (1 + 增长余量)。</x:v>
      </x:c>
    </x:row>
    <x:row r="40" ht="32" customHeight="1">
      <x:c r="A40" s="2" t="str">
        <x:v>工作副本数</x:v>
      </x:c>
      <x:c r="B40" s="14" t="n">
        <x:f>IF(B31="参数有效",MAX(1,ROUNDUP(B38/B21,0),ROUNDUP(B39/B22,0)),"待填写")</x:f>
        <x:v>3</x:v>
      </x:c>
      <x:c r="C40" s="2" t="str">
        <x:v>组</x:v>
      </x:c>
      <x:c r="D40" s="3" t="str">
        <x:v>取并发约束与调用量约束中较大值，至少保留1组常驻服务。</x:v>
      </x:c>
    </x:row>
    <x:row r="41" ht="32" customHeight="1">
      <x:c r="A41" s="2" t="str">
        <x:v>预算物理卡总数</x:v>
      </x:c>
      <x:c r="B41" s="14" t="n">
        <x:f>IF(B31="参数有效",(B40+B26)*B37+B27,"待填写")</x:f>
        <x:v>4</x:v>
      </x:c>
      <x:c r="C41" s="2" t="str">
        <x:v>张</x:v>
      </x:c>
      <x:c r="D41" s="3" t="str">
        <x:v>(工作副本 + 在线备用) × 每副本卡数 + 辅助卡。</x:v>
      </x:c>
    </x:row>
    <x:row r="42" ht="32" customHeight="1">
      <x:c r="A42" s="2" t="str">
        <x:v>服务器数量估算</x:v>
      </x:c>
      <x:c r="B42" s="14" t="n">
        <x:f>IF(B31&lt;&gt;"参数有效","待填写",IF(B37&gt;B28,"需更大机箱或跨机方案",ROUNDUP((B40+B26)/ROUNDDOWN(B28/B37,0),0)+ROUNDUP(B27/B28,0)))</x:f>
        <x:v>1</x:v>
      </x:c>
      <x:c r="C42" s="2" t="str">
        <x:v>台</x:v>
      </x:c>
      <x:c r="D42" s="3" t="str">
        <x:v>副本须在单台内，主模型与辅助卡分开装箱；容灾隔离可增加台数。</x:v>
      </x:c>
    </x:row>
    <x:row r="43" ht="32" customHeight="1">
      <x:c r="A43" s="2"/>
      <x:c r="B43" s="2"/>
      <x:c r="C43" s="2"/>
      <x:c r="D43" s="3"/>
    </x:row>
    <x:row r="44" ht="54" customHeight="1">
      <x:c r="A44" s="2" t="str">
        <x:v>估算边界</x:v>
      </x:c>
      <x:c r="B44" s="2"/>
      <x:c r="C44" s="2"/>
      <x:c r="D44" s="3" t="str">
        <x:v>用于前期预算，不要求压测。70B以上总参数、特殊KV、多模态主模型、跨机并行应单独核算；详细核算页可选用。</x:v>
      </x:c>
    </x:row>
    <x:row r="45" ht="32" customHeight="1">
      <x:c r="A45" s="2"/>
      <x:c r="B45" s="2"/>
      <x:c r="C45" s="2"/>
      <x:c r="D45" s="3"/>
    </x:row>
    <x:row r="46" ht="32" customHeight="1">
      <x:c r="A46" s="2"/>
      <x:c r="B46" s="2"/>
      <x:c r="C46" s="2"/>
      <x:c r="D46" s="3"/>
    </x:row>
    <x:row r="47" ht="32" customHeight="1">
      <x:c r="A47" s="2"/>
      <x:c r="B47" s="2"/>
      <x:c r="C47" s="2"/>
      <x:c r="D47" s="3"/>
    </x:row>
    <x:row r="48" ht="32" customHeight="1">
      <x:c r="A48" s="2"/>
      <x:c r="B48" s="2"/>
      <x:c r="C48" s="2"/>
      <x:c r="D48" s="3"/>
    </x:row>
    <x:row r="49" ht="32" customHeight="1">
      <x:c r="A49" s="2"/>
      <x:c r="B49" s="2"/>
      <x:c r="C49" s="2"/>
      <x:c r="D49" s="3"/>
    </x:row>
    <x:row r="50" ht="32" customHeight="1">
      <x:c r="A50" s="2"/>
      <x:c r="B50" s="2"/>
      <x:c r="C50" s="2"/>
      <x:c r="D50" s="3"/>
    </x:row>
    <x:row r="51" ht="32" customHeight="1">
      <x:c r="A51" s="2"/>
      <x:c r="B51" s="2"/>
      <x:c r="C51" s="2"/>
      <x:c r="D51" s="3"/>
    </x:row>
    <x:row r="52" ht="32" customHeight="1">
      <x:c r="A52" s="2"/>
      <x:c r="B52" s="2"/>
      <x:c r="C52" s="2"/>
      <x:c r="D52" s="3"/>
    </x:row>
    <x:row r="53" ht="32" customHeight="1">
      <x:c r="A53" s="2"/>
      <x:c r="B53" s="2"/>
      <x:c r="C53" s="2"/>
      <x:c r="D53" s="3"/>
    </x:row>
    <x:row r="54" ht="32" customHeight="1">
      <x:c r="A54" s="2"/>
      <x:c r="B54" s="2"/>
      <x:c r="C54" s="2"/>
      <x:c r="D54" s="3"/>
    </x:row>
    <x:row r="55" ht="32" customHeight="1">
      <x:c r="A55" s="2"/>
      <x:c r="B55" s="2"/>
      <x:c r="C55" s="2"/>
      <x:c r="D55" s="3"/>
    </x:row>
    <x:row r="56" ht="32" customHeight="1">
      <x:c r="A56" s="2"/>
      <x:c r="B56" s="2"/>
      <x:c r="C56" s="2"/>
      <x:c r="D56" s="3"/>
    </x:row>
    <x:row r="57" ht="32" customHeight="1">
      <x:c r="A57" s="2"/>
      <x:c r="B57" s="2"/>
      <x:c r="C57" s="2"/>
      <x:c r="D57" s="3"/>
    </x:row>
    <x:row r="58" ht="32" customHeight="1">
      <x:c r="A58" s="2"/>
      <x:c r="B58" s="2"/>
      <x:c r="C58" s="2"/>
      <x:c r="D58" s="3"/>
    </x:row>
    <x:row r="59" ht="32" customHeight="1">
      <x:c r="A59" s="2"/>
      <x:c r="B59" s="2"/>
      <x:c r="C59" s="2"/>
      <x:c r="D59" s="3"/>
    </x:row>
    <x:row r="60" ht="32" customHeight="1">
      <x:c r="A60" s="2"/>
      <x:c r="B60" s="2"/>
      <x:c r="C60" s="2"/>
      <x:c r="D60" s="3"/>
    </x:row>
    <x:row r="61" ht="32" customHeight="1">
      <x:c r="A61" s="2"/>
      <x:c r="B61" s="2"/>
      <x:c r="C61" s="2"/>
      <x:c r="D61" s="3"/>
    </x:row>
    <x:row r="62" ht="32" customHeight="1">
      <x:c r="A62" s="2"/>
      <x:c r="B62" s="2"/>
      <x:c r="C62" s="2"/>
      <x:c r="D62" s="3"/>
    </x:row>
    <x:row r="63" ht="32" customHeight="1">
      <x:c r="A63" s="2"/>
      <x:c r="B63" s="2"/>
      <x:c r="C63" s="2"/>
      <x:c r="D63" s="3"/>
    </x:row>
    <x:row r="64" ht="32" customHeight="1">
      <x:c r="A64" s="2"/>
      <x:c r="B64" s="2"/>
      <x:c r="C64" s="2"/>
      <x:c r="D64" s="3"/>
    </x:row>
    <x:row r="65" ht="32" customHeight="1">
      <x:c r="A65" s="2"/>
      <x:c r="B65" s="2"/>
      <x:c r="C65" s="2"/>
      <x:c r="D65" s="3"/>
    </x:row>
    <x:row r="66" ht="32" customHeight="1">
      <x:c r="A66" s="2"/>
      <x:c r="B66" s="2"/>
      <x:c r="C66" s="2"/>
      <x:c r="D66" s="3"/>
    </x:row>
    <x:row r="67" ht="32" customHeight="1">
      <x:c r="A67" s="2"/>
      <x:c r="B67" s="2"/>
      <x:c r="C67" s="2"/>
      <x:c r="D67" s="3"/>
    </x:row>
    <x:row r="68" ht="32" customHeight="1">
      <x:c r="A68" s="2"/>
      <x:c r="B68" s="2"/>
      <x:c r="C68" s="2"/>
      <x:c r="D68" s="3"/>
    </x:row>
    <x:row r="69" ht="32" customHeight="1">
      <x:c r="A69" s="2"/>
      <x:c r="B69" s="2"/>
      <x:c r="C69" s="2"/>
      <x:c r="D69" s="3"/>
    </x:row>
    <x:row r="70" ht="32" customHeight="1">
      <x:c r="A70" s="2"/>
      <x:c r="B70" s="2"/>
      <x:c r="C70" s="2"/>
      <x:c r="D70" s="3"/>
    </x:row>
    <x:row r="71" ht="32" customHeight="1">
      <x:c r="A71" s="2"/>
      <x:c r="B71" s="2"/>
      <x:c r="C71" s="2"/>
      <x:c r="D71" s="3"/>
    </x:row>
    <x:row r="72" ht="32" customHeight="1">
      <x:c r="A72" s="2"/>
      <x:c r="B72" s="2"/>
      <x:c r="C72" s="2"/>
      <x:c r="D72" s="3"/>
    </x:row>
    <x:row r="73" ht="32" customHeight="1">
      <x:c r="A73" s="2"/>
      <x:c r="B73" s="2"/>
      <x:c r="C73" s="2"/>
      <x:c r="D73" s="3"/>
    </x:row>
    <x:row r="74" ht="32" customHeight="1">
      <x:c r="A74" s="2"/>
      <x:c r="B74" s="2"/>
      <x:c r="C74" s="2"/>
      <x:c r="D74" s="3"/>
    </x:row>
    <x:row r="75" ht="32" customHeight="1">
      <x:c r="A75" s="2"/>
      <x:c r="B75" s="2"/>
      <x:c r="C75" s="2"/>
      <x:c r="D75" s="3"/>
    </x:row>
    <x:row r="76" ht="32" customHeight="1">
      <x:c r="A76" s="2"/>
      <x:c r="B76" s="2"/>
      <x:c r="C76" s="2"/>
      <x:c r="D76" s="3"/>
    </x:row>
    <x:row r="77" ht="32" customHeight="1">
      <x:c r="A77" s="2"/>
      <x:c r="B77" s="2"/>
      <x:c r="C77" s="2"/>
      <x:c r="D77" s="3"/>
    </x:row>
    <x:row r="78" ht="32" customHeight="1">
      <x:c r="A78" s="2"/>
      <x:c r="B78" s="2"/>
      <x:c r="C78" s="2"/>
      <x:c r="D78" s="3"/>
    </x:row>
    <x:row r="79" ht="32" customHeight="1">
      <x:c r="A79" s="2"/>
      <x:c r="B79" s="2"/>
      <x:c r="C79" s="2"/>
      <x:c r="D79" s="3"/>
    </x:row>
    <x:row r="80" ht="32" customHeight="1">
      <x:c r="A80" s="2"/>
      <x:c r="B80" s="2"/>
      <x:c r="C80" s="2"/>
      <x:c r="D80" s="3"/>
    </x:row>
    <x:row r="81" ht="32" customHeight="1">
      <x:c r="A81" s="2"/>
      <x:c r="B81" s="2"/>
      <x:c r="C81" s="2"/>
      <x:c r="D81" s="3"/>
    </x:row>
    <x:row r="82" ht="32" customHeight="1">
      <x:c r="A82" s="2"/>
      <x:c r="B82" s="2"/>
      <x:c r="C82" s="2"/>
      <x:c r="D82" s="3"/>
    </x:row>
    <x:row r="83" ht="32" customHeight="1">
      <x:c r="A83" s="2"/>
      <x:c r="B83" s="2"/>
      <x:c r="C83" s="2"/>
      <x:c r="D83" s="3"/>
    </x:row>
    <x:row r="84" ht="32" customHeight="1">
      <x:c r="A84" s="2"/>
      <x:c r="B84" s="2"/>
      <x:c r="C84" s="2"/>
      <x:c r="D84" s="3"/>
    </x:row>
    <x:row r="85" ht="32" customHeight="1">
      <x:c r="A85" s="2"/>
      <x:c r="B85" s="2"/>
      <x:c r="C85" s="2"/>
      <x:c r="D85" s="3"/>
    </x:row>
  </x:sheetData>
  <x:dataValidations count="13">
    <x:dataValidation type="list" sqref="B18">
      <x:formula1>"7B,14B,32B,70B"</x:formula1>
    </x:dataValidation>
    <x:dataValidation type="decimal" operator="between" sqref="B14">
      <x:formula1>0</x:formula1>
      <x:formula2>1000000</x:formula2>
    </x:dataValidation>
    <x:dataValidation type="decimal" operator="between" sqref="B15">
      <x:formula1>0</x:formula1>
      <x:formula2>1000000</x:formula2>
    </x:dataValidation>
    <x:dataValidation type="decimal" operator="between" sqref="B19">
      <x:formula1>0</x:formula1>
      <x:formula2>1000000</x:formula2>
    </x:dataValidation>
    <x:dataValidation type="decimal" operator="between" sqref="B20">
      <x:formula1>0</x:formula1>
      <x:formula2>1000000</x:formula2>
    </x:dataValidation>
    <x:dataValidation type="decimal" operator="between" sqref="B21">
      <x:formula1>0</x:formula1>
      <x:formula2>1000000</x:formula2>
    </x:dataValidation>
    <x:dataValidation type="decimal" operator="between" sqref="B22">
      <x:formula1>0</x:formula1>
      <x:formula2>1000000</x:formula2>
    </x:dataValidation>
    <x:dataValidation type="decimal" operator="between" sqref="B23">
      <x:formula1>0</x:formula1>
      <x:formula2>1000000</x:formula2>
    </x:dataValidation>
    <x:dataValidation type="decimal" operator="between" sqref="B24">
      <x:formula1>0</x:formula1>
      <x:formula2>1000000</x:formula2>
    </x:dataValidation>
    <x:dataValidation type="decimal" operator="between" sqref="B25">
      <x:formula1>0</x:formula1>
      <x:formula2>1000000</x:formula2>
    </x:dataValidation>
    <x:dataValidation type="decimal" operator="between" sqref="B26">
      <x:formula1>0</x:formula1>
      <x:formula2>1000000</x:formula2>
    </x:dataValidation>
    <x:dataValidation type="decimal" operator="between" sqref="B27">
      <x:formula1>0</x:formula1>
      <x:formula2>1000000</x:formula2>
    </x:dataValidation>
    <x:dataValidation type="decimal" operator="between" sqref="B28">
      <x:formula1>0</x:formula1>
      <x:formula2>1000000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9" hidden="0" customWidth="1"/>
    <x:col min="3" max="3" width="13" hidden="0" customWidth="1"/>
    <x:col min="4" max="4" width="86" hidden="0" customWidth="1"/>
  </x:cols>
  <x:sheetData>
    <x:row r="1" ht="32" customHeight="1">
      <x:c r="A1" s="2"/>
      <x:c r="B1" s="2"/>
      <x:c r="C1" s="2"/>
      <x:c r="D1" s="3"/>
    </x:row>
    <x:row r="2" ht="32" customHeight="1">
      <x:c r="A2" s="4" t="str">
        <x:v>调压站智能体计算卡核算</x:v>
      </x:c>
      <x:c r="B2" s="2"/>
      <x:c r="C2" s="2"/>
      <x:c r="D2" s="3" t="str">
        <x:v>核对日期：2026-10-09。适用于本地大模型推理，不含训练资源。</x:v>
      </x:c>
    </x:row>
    <x:row r="3" ht="32" customHeight="1">
      <x:c r="A3" s="2" t="str">
        <x:v>详细核算（可选）</x:v>
      </x:c>
      <x:c r="B3" s="2"/>
      <x:c r="C3" s="2"/>
      <x:c r="D3" s="3" t="str">
        <x:v>初步预算请使用第一张“粗略估算”。本页保留具体模型参数和同配置压测核算，不影响粗估结果。</x:v>
      </x:c>
    </x:row>
    <x:row r="4" ht="32" customHeight="1">
      <x:c r="A4" s="2"/>
      <x:c r="B4" s="2"/>
      <x:c r="C4" s="2"/>
      <x:c r="D4" s="3"/>
    </x:row>
    <x:row r="5" ht="32" customHeight="1">
      <x:c r="A5" s="7" t="str">
        <x:v>自动核算结果</x:v>
      </x:c>
      <x:c r="B5" s="7"/>
      <x:c r="C5" s="7"/>
      <x:c r="D5" s="8"/>
    </x:row>
    <x:row r="6" ht="32" customHeight="1">
      <x:c r="A6" s="2" t="str">
        <x:v>容量下限（主模型物理卡）</x:v>
      </x:c>
      <x:c r="B6" s="12" t="str">
        <x:f>IF(ISNUMBER(B63),B63*B36,"待填写容量参数")</x:f>
        <x:v>待填写容量参数</x:v>
      </x:c>
      <x:c r="C6" s="2" t="str">
        <x:v>张</x:v>
      </x:c>
      <x:c r="D6" s="3" t="str">
        <x:v>按显存能容纳的并发计算。尚未验证速度，不含备用与辅助模型。</x:v>
      </x:c>
    </x:row>
    <x:row r="7" ht="32" customHeight="1">
      <x:c r="A7" s="2" t="str">
        <x:v>采购规划数量（物理卡）</x:v>
      </x:c>
      <x:c r="B7" s="12" t="str">
        <x:f>IF(ISNUMBER(B69),B69,"待补齐参数与压测")</x:f>
        <x:v>待补齐参数与压测</x:v>
      </x:c>
      <x:c r="C7" s="2" t="str">
        <x:v>张</x:v>
      </x:c>
      <x:c r="D7" s="3" t="str">
        <x:v>性能证据完整时计算：工作副本 + 在线备用副本 + 额外模型用卡。</x:v>
      </x:c>
    </x:row>
    <x:row r="8" ht="32" customHeight="1">
      <x:c r="A8" s="2" t="str">
        <x:v>服务器规划数（分开部署）</x:v>
      </x:c>
      <x:c r="B8" s="12" t="str">
        <x:f>IF(ISNUMBER(B69),ROUNDUP((B66+B42)/ROUNDDOWN(B40/B36,0),0)+ROUNDUP(B43/B40,0),"待核算")</x:f>
        <x:v>待核算</x:v>
      </x:c>
      <x:c r="C8" s="2" t="str">
        <x:v>台</x:v>
      </x:c>
      <x:c r="D8" s="3" t="str">
        <x:v>主模型按完整副本装箱，辅助卡另配服务器；同一副本在一台内，未计故障域隔离。</x:v>
      </x:c>
    </x:row>
    <x:row r="9" ht="32" customHeight="1">
      <x:c r="A9" s="2" t="str">
        <x:v>核算状态</x:v>
      </x:c>
      <x:c r="B9" s="3" t="str">
        <x:f>IF(B54&lt;&gt;"参数有效",B54,IF(B62&lt;1,"所选分组放不下一路请求",IF(B65&lt;&gt;"证据齐全",B65,"已给出规划数量，待采购验收")))</x:f>
        <x:v>请补齐或修正黄色容量参数</x:v>
      </x:c>
      <x:c r="C9" s="2"/>
      <x:c r="D9" s="3" t="str">
        <x:v>兼容性与单芯片峰值内存须供应商确认。备用副本数不自动代表可承受整机故障。</x:v>
      </x:c>
    </x:row>
    <x:row r="10" ht="32" customHeight="1">
      <x:c r="A10" s="2"/>
      <x:c r="B10" s="2"/>
      <x:c r="C10" s="2"/>
      <x:c r="D10" s="3"/>
    </x:row>
    <x:row r="11" ht="32" customHeight="1">
      <x:c r="A11" s="7" t="str">
        <x:v>客户填写：业务峰值与服务要求</x:v>
      </x:c>
      <x:c r="B11" s="7"/>
      <x:c r="C11" s="7"/>
      <x:c r="D11" s="8"/>
    </x:row>
    <x:row r="12" ht="32" customHeight="1">
      <x:c r="A12" s="2" t="str">
        <x:v>项目 / 客户名称</x:v>
      </x:c>
      <x:c r="B12" s="10"/>
      <x:c r="C12" s="2" t="str">
        <x:v>文本</x:v>
      </x:c>
      <x:c r="D12" s="3" t="str">
        <x:v>填写客户名称与部署范围。</x:v>
      </x:c>
    </x:row>
    <x:row r="13" ht="32" customHeight="1">
      <x:c r="A13" s="2" t="str">
        <x:v>峰值业务请求速率</x:v>
      </x:c>
      <x:c r="B13" s="16"/>
      <x:c r="C13" s="2" t="str">
        <x:v>次/秒</x:v>
      </x:c>
      <x:c r="D13" s="3" t="str">
        <x:v>填写告警、问答、巡检报告等同时到达的总业务请求峰值。不要填日平均值。</x:v>
      </x:c>
    </x:row>
    <x:row r="14" ht="32" customHeight="1">
      <x:c r="A14" s="2" t="str">
        <x:v>每次业务平均模型调用次数</x:v>
      </x:c>
      <x:c r="B14" s="10"/>
      <x:c r="C14" s="2" t="str">
        <x:v>次</x:v>
      </x:c>
      <x:c r="D14" s="3" t="str">
        <x:v>包含规划、工具返回后的再推理、校验等。多个模型分开核算，不能重复计入。</x:v>
      </x:c>
    </x:row>
    <x:row r="15" ht="32" customHeight="1">
      <x:c r="A15" s="2" t="str">
        <x:v>重试与额外调用系数</x:v>
      </x:c>
      <x:c r="B15" s="16" t="n">
        <x:v>1</x:v>
      </x:c>
      <x:c r="C15" s="2" t="str">
        <x:v>倍</x:v>
      </x:c>
      <x:c r="D15" s="3" t="str">
        <x:v>1 表示没有额外调用；1.1 表示在上述调用次数外再增加 10%。</x:v>
      </x:c>
    </x:row>
    <x:row r="16" ht="32" customHeight="1">
      <x:c r="A16" s="2" t="str">
        <x:v>峰值同时在推理的模型请求</x:v>
      </x:c>
      <x:c r="B16" s="10"/>
      <x:c r="C16" s="2" t="str">
        <x:v>路</x:v>
      </x:c>
      <x:c r="D16" s="3" t="str">
        <x:v>填写活动生成序列数，含 Agent 内部并行调用；不是注册用户数或站点总数。</x:v>
      </x:c>
    </x:row>
    <x:row r="17" ht="32" customHeight="1">
      <x:c r="A17" s="2" t="str">
        <x:v>单次模型输入 Token 上限</x:v>
      </x:c>
      <x:c r="B17" s="10"/>
      <x:c r="C17" s="2" t="str">
        <x:v>Token</x:v>
      </x:c>
      <x:c r="D17" s="3" t="str">
        <x:v>含系统提示、历史、RAG 检索材料和工具结果。多个调用采用规划上限。</x:v>
      </x:c>
    </x:row>
    <x:row r="18" ht="32" customHeight="1">
      <x:c r="A18" s="2" t="str">
        <x:v>单次模型输出 Token 上限</x:v>
      </x:c>
      <x:c r="B18" s="10"/>
      <x:c r="C18" s="2" t="str">
        <x:v>Token</x:v>
      </x:c>
      <x:c r="D18" s="3" t="str">
        <x:v>含思考 Token（如启用）与最终回答。与输入上限相加作为 KV 规划长度。</x:v>
      </x:c>
    </x:row>
    <x:row r="19" ht="32" customHeight="1">
      <x:c r="A19" s="2" t="str">
        <x:v>业务增长余量</x:v>
      </x:c>
      <x:c r="B19" s="15" t="n">
        <x:v>0.2</x:v>
      </x:c>
      <x:c r="C19" s="2" t="str">
        <x:v>比例</x:v>
      </x:c>
      <x:c r="D19" s="3" t="str">
        <x:v>同时作用于请求速率与活动并发。20% 为可修改规划假设，不是实测结论。</x:v>
      </x:c>
    </x:row>
    <x:row r="20" ht="32" customHeight="1">
      <x:c r="A20" s="2" t="str">
        <x:v>首 Token 延迟目标 P95</x:v>
      </x:c>
      <x:c r="B20" s="10"/>
      <x:c r="C20" s="2" t="str">
        <x:v>秒</x:v>
      </x:c>
      <x:c r="D20" s="3" t="str">
        <x:v>TTFT，供应商压测必须满足。工具处理与检索耗时另列预算。</x:v>
      </x:c>
    </x:row>
    <x:row r="21" ht="32" customHeight="1">
      <x:c r="A21" s="2" t="str">
        <x:v>单次模型完成延迟目标 P95</x:v>
      </x:c>
      <x:c r="B21" s="10"/>
      <x:c r="C21" s="2" t="str">
        <x:v>秒</x:v>
      </x:c>
      <x:c r="D21" s="3" t="str">
        <x:v>包含排队、Prefill 与 Decode；不是整个多轮 Agent 的完成时间。</x:v>
      </x:c>
    </x:row>
    <x:row r="22" ht="32" customHeight="1">
      <x:c r="A22" s="2"/>
      <x:c r="B22" s="2"/>
      <x:c r="C22" s="2"/>
      <x:c r="D22" s="3"/>
    </x:row>
    <x:row r="23" ht="32" customHeight="1">
      <x:c r="A23" s="7" t="str">
        <x:v>研发填写：模型与显存</x:v>
      </x:c>
      <x:c r="B23" s="7"/>
      <x:c r="C23" s="7"/>
      <x:c r="D23" s="8"/>
    </x:row>
    <x:row r="24" ht="32" customHeight="1">
      <x:c r="A24" s="2" t="str">
        <x:v>模型名称 / 版本 / 精度方案</x:v>
      </x:c>
      <x:c r="B24" s="10"/>
      <x:c r="C24" s="2" t="str">
        <x:v>文本</x:v>
      </x:c>
      <x:c r="D24" s="3" t="str">
        <x:v>填实际检查点版本与量化方法。多模型独立部署可分别复制表核算后汇总。</x:v>
      </x:c>
    </x:row>
    <x:row r="25" ht="32" customHeight="1">
      <x:c r="A25" s="2" t="str">
        <x:v>模型总参数量</x:v>
      </x:c>
      <x:c r="B25" s="16"/>
      <x:c r="C25" s="2" t="str">
        <x:v>十亿参数</x:v>
      </x:c>
      <x:c r="D25" s="3" t="str">
        <x:v>例如 7 表示 7B。MoE 必须填写总参数，不能用激活参数估算权重内存。</x:v>
      </x:c>
    </x:row>
    <x:row r="26" ht="32" customHeight="1">
      <x:c r="A26" s="2" t="str">
        <x:v>权重有效字节数 / 参数</x:v>
      </x:c>
      <x:c r="B26" s="16" t="n">
        <x:v>2</x:v>
      </x:c>
      <x:c r="C26" s="2" t="str">
        <x:v>Byte</x:v>
      </x:c>
      <x:c r="D26" s="3" t="str">
        <x:v>FP16/BF16 为 2；INT8 理想值 1；INT4 理想值 0.5，量化元数据另加。精度须有后端支持。</x:v>
      </x:c>
    </x:row>
    <x:row r="27" ht="32" customHeight="1">
      <x:c r="A27" s="2" t="str">
        <x:v>权重额外内存比例</x:v>
      </x:c>
      <x:c r="B27" s="15" t="n">
        <x:v>0.1</x:v>
      </x:c>
      <x:c r="C27" s="2" t="str">
        <x:v>比例</x:v>
      </x:c>
      <x:c r="D27" s="3" t="str">
        <x:v>覆盖量化尺度、未量化参数等。10% 为可修改假设，最好按实际加载内存校准。</x:v>
      </x:c>
    </x:row>
    <x:row r="28" ht="32" customHeight="1">
      <x:c r="A28" s="2" t="str">
        <x:v>KV 计算方式</x:v>
      </x:c>
      <x:c r="B28" s="10" t="str">
        <x:v>标准MHA/GQA</x:v>
      </x:c>
      <x:c r="C28" s="2" t="str">
        <x:v>选项</x:v>
      </x:c>
      <x:c r="D28" s="3" t="str">
        <x:v>普通 MHA/GQA 用下方结构公式；MLA、混合注意力等选择自定义并填实测/结构推导值。</x:v>
      </x:c>
    </x:row>
    <x:row r="29" ht="32" customHeight="1">
      <x:c r="A29" s="2" t="str">
        <x:v>注意力层数</x:v>
      </x:c>
      <x:c r="B29" s="10"/>
      <x:c r="C29" s="2" t="str">
        <x:v>层</x:v>
      </x:c>
      <x:c r="D29" s="3" t="str">
        <x:v>从实际模型 config.json 读取；自定义 KV 模式不使用此项。</x:v>
      </x:c>
    </x:row>
    <x:row r="30" ht="32" customHeight="1">
      <x:c r="A30" s="2" t="str">
        <x:v>每层 KV 头数</x:v>
      </x:c>
      <x:c r="B30" s="10"/>
      <x:c r="C30" s="2" t="str">
        <x:v>个</x:v>
      </x:c>
      <x:c r="D30" s="3" t="str">
        <x:v>num_key_value_heads，不能直接用 Query 头数代替。</x:v>
      </x:c>
    </x:row>
    <x:row r="31" ht="32" customHeight="1">
      <x:c r="A31" s="2" t="str">
        <x:v>每个 KV 头维度</x:v>
      </x:c>
      <x:c r="B31" s="10"/>
      <x:c r="C31" s="2" t="str">
        <x:v>维</x:v>
      </x:c>
      <x:c r="D31" s="3" t="str">
        <x:v>head_dim，确认 K/V 维度相同；不同则改用自定义。</x:v>
      </x:c>
    </x:row>
    <x:row r="32" ht="32" customHeight="1">
      <x:c r="A32" s="2" t="str">
        <x:v>KV 每个元素的字节数</x:v>
      </x:c>
      <x:c r="B32" s="16" t="n">
        <x:v>2</x:v>
      </x:c>
      <x:c r="C32" s="2" t="str">
        <x:v>Byte</x:v>
      </x:c>
      <x:c r="D32" s="3" t="str">
        <x:v>BF16/FP16 为 2；不要根据权重量化精度推定 KV 精度。</x:v>
      </x:c>
    </x:row>
    <x:row r="33" ht="32" customHeight="1">
      <x:c r="A33" s="2" t="str">
        <x:v>自定义 KV 每 Token 内存</x:v>
      </x:c>
      <x:c r="B33" s="10"/>
      <x:c r="C33" s="2" t="str">
        <x:v>Byte</x:v>
      </x:c>
      <x:c r="D33" s="3" t="str">
        <x:v>整个模型、单序列、未计分组复制。包含量化元数据等；自定义模式必填。</x:v>
      </x:c>
    </x:row>
    <x:row r="34" ht="32" customHeight="1">
      <x:c r="A34" s="2" t="str">
        <x:v>分组内 KV 复制 / 开销系数</x:v>
      </x:c>
      <x:c r="B34" s="10" t="n">
        <x:v>1</x:v>
      </x:c>
      <x:c r="C34" s="2" t="str">
        <x:v>倍</x:v>
      </x:c>
      <x:c r="D34" s="3" t="str">
        <x:v>理想均匀切分为 1；KV 头不能均分、缓存复制或块取整时须增加，并确认单芯片峰值。</x:v>
      </x:c>
    </x:row>
    <x:row r="35" ht="32" customHeight="1">
      <x:c r="A35" s="7" t="str">
        <x:v>研发与供应商填写：物理卡与部署</x:v>
      </x:c>
      <x:c r="B35" s="7"/>
      <x:c r="C35" s="7"/>
      <x:c r="D35" s="8"/>
    </x:row>
    <x:row r="36" ht="32" customHeight="1">
      <x:c r="A36" s="2" t="str">
        <x:v>每个模型副本使用物理卡数</x:v>
      </x:c>
      <x:c r="B36" s="10"/>
      <x:c r="C36" s="2" t="str">
        <x:v>张</x:v>
      </x:c>
      <x:c r="D36" s="3" t="str">
        <x:v>一个副本是独立服务实例，可由同一服务器内多卡协同推理。须采用后端支持的并行分组。</x:v>
      </x:c>
    </x:row>
    <x:row r="37" ht="32" customHeight="1">
      <x:c r="A37" s="2" t="str">
        <x:v>每张物理卡的计算芯片数</x:v>
      </x:c>
      <x:c r="B37" s="10"/>
      <x:c r="C37" s="2" t="str">
        <x:v>个</x:v>
      </x:c>
      <x:c r="D37" s="3" t="str">
        <x:v>Duo 为双芯片，其他型号按所采购 SKU 填；计算芯片数与卡数分别统计。</x:v>
      </x:c>
    </x:row>
    <x:row r="38" ht="32" customHeight="1">
      <x:c r="A38" s="2" t="str">
        <x:v>单芯片名义设备内存</x:v>
      </x:c>
      <x:c r="B38" s="16"/>
      <x:c r="C38" s="2" t="str">
        <x:v>GiB</x:v>
      </x:c>
      <x:c r="D38" s="3" t="str">
        <x:v>明确按 GiB=2^30 Byte 填入；若厂家给十进制 GB，乘 10^9/2^30 转换。参考页供核对。</x:v>
      </x:c>
    </x:row>
    <x:row r="39" ht="32" customHeight="1">
      <x:c r="A39" s="2" t="str">
        <x:v>设备内存可用比例</x:v>
      </x:c>
      <x:c r="B39" s="15" t="n">
        <x:v>0.85</x:v>
      </x:c>
      <x:c r="C39" s="2" t="str">
        <x:v>比例</x:v>
      </x:c>
      <x:c r="D39" s="3" t="str">
        <x:v>扣除驱动、不可用内存与安全余量。85% 为规划假设，应以 npu-smi / 引擎实测校准。</x:v>
      </x:c>
    </x:row>
    <x:row r="40" ht="32" customHeight="1">
      <x:c r="A40" s="2" t="str">
        <x:v>每台服务器允许安装物理卡数</x:v>
      </x:c>
      <x:c r="B40" s="10"/>
      <x:c r="C40" s="2" t="str">
        <x:v>张</x:v>
      </x:c>
      <x:c r="D40" s="3" t="str">
        <x:v>主模型与辅助服务按相同插槽容量、分开部署估算。须核对机箱、功耗与互联；模组按 BOM 口径。</x:v>
      </x:c>
    </x:row>
    <x:row r="41" ht="32" customHeight="1">
      <x:c r="A41" s="2" t="str">
        <x:v>每芯片运行时额外内存</x:v>
      </x:c>
      <x:c r="B41" s="16"/>
      <x:c r="C41" s="2" t="str">
        <x:v>GiB</x:v>
      </x:c>
      <x:c r="D41" s="3" t="str">
        <x:v>含激活、算子工作区、通信缓冲、图缓存；必须为规划上下文 / batch 测量或留足预算。</x:v>
      </x:c>
    </x:row>
    <x:row r="42" ht="32" customHeight="1">
      <x:c r="A42" s="2" t="str">
        <x:v>在线备用模型副本数</x:v>
      </x:c>
      <x:c r="B42" s="10" t="n">
        <x:v>1</x:v>
      </x:c>
      <x:c r="C42" s="2" t="str">
        <x:v>组</x:v>
      </x:c>
      <x:c r="D42" s="3" t="str">
        <x:v>备用与工作副本配置相同。默认 1 为规划假设；0 允许无备用。</x:v>
      </x:c>
    </x:row>
    <x:row r="43" ht="32" customHeight="1">
      <x:c r="A43" s="2" t="str">
        <x:v>辅助服务额外物理卡数</x:v>
      </x:c>
      <x:c r="B43" s="10" t="n">
        <x:v>0</x:v>
      </x:c>
      <x:c r="C43" s="2" t="str">
        <x:v>张</x:v>
      </x:c>
      <x:c r="D43" s="3" t="str">
        <x:v>Embedding、Reranker、视觉、语音等独立占用的卡。0 需确认可用 CPU 或已计入其他部署。</x:v>
      </x:c>
    </x:row>
    <x:row r="44" ht="32" customHeight="1">
      <x:c r="A44" s="2" t="str">
        <x:v>型号 / SKU / 服务器配置</x:v>
      </x:c>
      <x:c r="B44" s="10"/>
      <x:c r="C44" s="2" t="str">
        <x:v>文本</x:v>
      </x:c>
      <x:c r="D44" s="3" t="str">
        <x:v>填写精确 SKU、内存版本、互联方式与 CANN / MindIE / vLLM-Ascend 版本。</x:v>
      </x:c>
    </x:row>
    <x:row r="45" ht="32" customHeight="1">
      <x:c r="A45" s="2"/>
      <x:c r="B45" s="2"/>
      <x:c r="C45" s="2"/>
      <x:c r="D45" s="3"/>
    </x:row>
    <x:row r="46" ht="32" customHeight="1">
      <x:c r="A46" s="7" t="str">
        <x:v>供应商填写：同配置并发压测证据</x:v>
      </x:c>
      <x:c r="B46" s="7"/>
      <x:c r="C46" s="7"/>
      <x:c r="D46" s="8"/>
    </x:row>
    <x:row r="47" ht="32" customHeight="1">
      <x:c r="A47" s="2" t="str">
        <x:v>单副本达标模型请求吞吐</x:v>
      </x:c>
      <x:c r="B47" s="16"/>
      <x:c r="C47" s="2" t="str">
        <x:v>次/秒</x:v>
      </x:c>
      <x:c r="D47" s="3" t="str">
        <x:v>同模型、精度、分组、输入输出长度与混合业务下，同时满足两项 P95 目标的完成吞吐。</x:v>
      </x:c>
    </x:row>
    <x:row r="48" ht="32" customHeight="1">
      <x:c r="A48" s="2" t="str">
        <x:v>单副本达标活动并发上限</x:v>
      </x:c>
      <x:c r="B48" s="10"/>
      <x:c r="C48" s="2" t="str">
        <x:v>路</x:v>
      </x:c>
      <x:c r="D48" s="3" t="str">
        <x:v>与上项同次压测、同负载。吞吐与并发均须稳定达标，禁止使用理论 TFLOPS 替代。</x:v>
      </x:c>
    </x:row>
    <x:row r="49" ht="32" customHeight="1">
      <x:c r="A49" s="2" t="str">
        <x:v>实测首 Token 延迟 P95</x:v>
      </x:c>
      <x:c r="B49" s="16"/>
      <x:c r="C49" s="2" t="str">
        <x:v>秒</x:v>
      </x:c>
      <x:c r="D49" s="3" t="str">
        <x:v>同次压测报告中的 TTFT。</x:v>
      </x:c>
    </x:row>
    <x:row r="50" ht="32" customHeight="1">
      <x:c r="A50" s="2" t="str">
        <x:v>实测单次模型完成延迟 P95</x:v>
      </x:c>
      <x:c r="B50" s="16"/>
      <x:c r="C50" s="2" t="str">
        <x:v>秒</x:v>
      </x:c>
      <x:c r="D50" s="3" t="str">
        <x:v>同次压测报告中的完成延迟。</x:v>
      </x:c>
    </x:row>
    <x:row r="51" ht="32" customHeight="1">
      <x:c r="A51" s="2" t="str">
        <x:v>压测报告 / 日期 / 配置</x:v>
      </x:c>
      <x:c r="B51" s="10"/>
      <x:c r="C51" s="2" t="str">
        <x:v>文本</x:v>
      </x:c>
      <x:c r="D51" s="3" t="str">
        <x:v>填写报告编号、日期及配置摘要。还应记录失败率、运行时长与长上下文峰值内存。</x:v>
      </x:c>
    </x:row>
    <x:row r="52" ht="32" customHeight="1">
      <x:c r="A52" s="2" t="str">
        <x:v>部署兼容性与内存切分已确认</x:v>
      </x:c>
      <x:c r="B52" s="10" t="str">
        <x:v>待确认</x:v>
      </x:c>
      <x:c r="C52" s="2" t="str">
        <x:v>选项</x:v>
      </x:c>
      <x:c r="D52" s="3" t="str">
        <x:v>供应商确认模型/量化/后端/互联可用，以及最忙芯片内存可容纳。确认后才输出采购规划数。</x:v>
      </x:c>
    </x:row>
    <x:row r="53" ht="32" customHeight="1">
      <x:c r="A53" s="7" t="str">
        <x:v>计算过程（灰色区域自动更新）</x:v>
      </x:c>
      <x:c r="B53" s="7"/>
      <x:c r="C53" s="7"/>
      <x:c r="D53" s="8"/>
    </x:row>
    <x:row r="54" ht="32" customHeight="1">
      <x:c r="A54" s="2" t="str">
        <x:v>容量参数检查</x:v>
      </x:c>
      <x:c r="B54" s="14" t="str">
        <x:f>IF(OR(NOT(ISNUMBER(B13)),NOT(ISNUMBER(B14)),NOT(ISNUMBER(B15)),NOT(ISNUMBER(B16)),NOT(ISNUMBER(B17)),NOT(ISNUMBER(B18)),NOT(ISNUMBER(B25)),NOT(ISNUMBER(B26)),NOT(ISNUMBER(B34)),NOT(ISNUMBER(B36)),NOT(ISNUMBER(B37)),NOT(ISNUMBER(B38)),NOT(ISNUMBER(B39)),NOT(ISNUMBER(B40)),NOT(ISNUMBER(B19)),NOT(ISNUMBER(B27)),NOT(ISNUMBER(B41)),NOT(ISNUMBER(B42)),NOT(ISNUMBER(B43))),"请补齐或修正黄色容量参数",IF(AND(B28="标准MHA/GQA",COUNT(B29:B32)&lt;&gt;4),"请补齐或修正KV结构参数",IF(OR(NOT(ISNUMBER(B13)),B13&lt;=0,NOT(ISNUMBER(B14)),B14&lt;=0,NOT(ISNUMBER(B15)),B15&lt;=0,NOT(ISNUMBER(B16)),B16&lt;=0,NOT(ISNUMBER(B17)),B17&lt;=0,NOT(ISNUMBER(B18)),B18&lt;=0,NOT(ISNUMBER(B25)),B25&lt;=0,NOT(ISNUMBER(B26)),B26&lt;=0,NOT(ISNUMBER(B34)),B34&lt;=0,NOT(ISNUMBER(B36)),B36&lt;=0,NOT(ISNUMBER(B37)),B37&lt;=0,NOT(ISNUMBER(B38)),B38&lt;=0,NOT(ISNUMBER(B39)),B39&lt;=0,NOT(ISNUMBER(B40)),B40&lt;=0,NOT(ISNUMBER(B19)),B19&lt;0,NOT(ISNUMBER(B27)),B27&lt;0,B39&gt;1,NOT(ISNUMBER(B41)),B41&lt;0,NOT(ISNUMBER(B42)),B42&lt;0,NOT(ISNUMBER(B43)),B43&lt;0,B15&lt;1,B34&lt;1,B36&gt;B40,B16&lt;&gt;INT(B16),B17&lt;&gt;INT(B17),B18&lt;&gt;INT(B18),B36&lt;&gt;INT(B36),B37&lt;&gt;INT(B37),B40&lt;&gt;INT(B40),B42&lt;&gt;INT(B42),B43&lt;&gt;INT(B43)),"请补齐或修正黄色容量参数",IF(B28="标准MHA/GQA",IF(OR(COUNT(B29:B32)&lt;&gt;4,MIN(B29:B32)&lt;=0,B29&lt;&gt;INT(B29),B30&lt;&gt;INT(B30),B31&lt;&gt;INT(B31)),"请补齐或修正KV结构参数","参数有效"),IF(B28="自定义",IF(OR(NOT(ISNUMBER(B33)),B33&lt;=0),"请填写自定义KV内存","参数有效"),"请选择有效KV方式")))))</x:f>
        <x:v>请补齐或修正黄色容量参数</x:v>
      </x:c>
      <x:c r="C54" s="2"/>
      <x:c r="D54" s="3" t="str">
        <x:v>缺项或数值非法时停止计算。自定义 KV 模式不要求标准结构参数。</x:v>
      </x:c>
    </x:row>
    <x:row r="55" ht="32" customHeight="1">
      <x:c r="A55" s="2" t="str">
        <x:v>规划模型请求速率</x:v>
      </x:c>
      <x:c r="B55" s="17" t="str">
        <x:f>IF(B54="参数有效",B13*B14*B15*(1+B19),"待填写")</x:f>
        <x:v>待填写</x:v>
      </x:c>
      <x:c r="C55" s="2" t="str">
        <x:v>次/秒</x:v>
      </x:c>
      <x:c r="D55" s="3" t="str">
        <x:v>业务请求速率 × 模型调用次数 × 重试系数 × (1 + 增长余量)。</x:v>
      </x:c>
    </x:row>
    <x:row r="56" ht="32" customHeight="1">
      <x:c r="A56" s="2" t="str">
        <x:v>规划活动并发</x:v>
      </x:c>
      <x:c r="B56" s="14" t="str">
        <x:f>IF(B54="参数有效",ROUNDUP(B16*(1+B19),0),"待填写")</x:f>
        <x:v>待填写</x:v>
      </x:c>
      <x:c r="C56" s="2" t="str">
        <x:v>路</x:v>
      </x:c>
      <x:c r="D56" s="3" t="str">
        <x:v>峰值活动模型请求 × (1 + 增长余量)，向上取整。</x:v>
      </x:c>
    </x:row>
    <x:row r="57" ht="32" customHeight="1">
      <x:c r="A57" s="2" t="str">
        <x:v>单副本权重内存</x:v>
      </x:c>
      <x:c r="B57" s="17" t="str">
        <x:f>IF(B54="参数有效",B25*10^9*B26*(1+B27)/2^30,"待填写")</x:f>
        <x:v>待填写</x:v>
      </x:c>
      <x:c r="C57" s="2" t="str">
        <x:v>GiB</x:v>
      </x:c>
      <x:c r="D57" s="3" t="str">
        <x:v>总参数量 × 10^9 × 每参数字节 × (1 + 权重额外比例) / 2^30。</x:v>
      </x:c>
    </x:row>
    <x:row r="58" ht="32" customHeight="1">
      <x:c r="A58" s="2" t="str">
        <x:v>单序列每 Token KV 内存</x:v>
      </x:c>
      <x:c r="B58" s="14" t="str">
        <x:f>IF(B54="参数有效",IF(B28="自定义",B33,2*B29*B30*B31*B32),"待填写")</x:f>
        <x:v>待填写</x:v>
      </x:c>
      <x:c r="C58" s="2" t="str">
        <x:v>Byte</x:v>
      </x:c>
      <x:c r="D58" s="3" t="str">
        <x:v>标准公式：2 × 层数 × KV头数 × 头维度 × KV字节数，2 代表 K 和 V。</x:v>
      </x:c>
    </x:row>
    <x:row r="59" ht="32" customHeight="1">
      <x:c r="A59" s="2" t="str">
        <x:v>单序列 KV 规划内存</x:v>
      </x:c>
      <x:c r="B59" s="17" t="str">
        <x:f>IF(B54="参数有效",B58*(B17+B18)*B34/2^30,"待填写")</x:f>
        <x:v>待填写</x:v>
      </x:c>
      <x:c r="C59" s="2" t="str">
        <x:v>GiB</x:v>
      </x:c>
      <x:c r="D59" s="3" t="str">
        <x:v>每 Token KV × (输入上限 + 输出上限) × 分组复制系数 / 2^30。</x:v>
      </x:c>
    </x:row>
    <x:row r="60" ht="32" customHeight="1">
      <x:c r="A60" s="2" t="str">
        <x:v>单副本可用设备内存</x:v>
      </x:c>
      <x:c r="B60" s="17" t="str">
        <x:f>IF(B54="参数有效",B36*B37*B38*B39,"待填写")</x:f>
        <x:v>待填写</x:v>
      </x:c>
      <x:c r="C60" s="2" t="str">
        <x:v>GiB</x:v>
      </x:c>
      <x:c r="D60" s="3" t="str">
        <x:v>物理卡数 × 每卡芯片数 × 单芯片内存 × 可用比例。分组切分有效时成立。</x:v>
      </x:c>
    </x:row>
    <x:row r="61" ht="32" customHeight="1">
      <x:c r="A61" s="2" t="str">
        <x:v>单副本留给 KV 的内存</x:v>
      </x:c>
      <x:c r="B61" s="17" t="str">
        <x:f>IF(B54="参数有效",B60-B57-B41*B36*B37,"待填写")</x:f>
        <x:v>待填写</x:v>
      </x:c>
      <x:c r="C61" s="2" t="str">
        <x:v>GiB</x:v>
      </x:c>
      <x:c r="D61" s="3" t="str">
        <x:v>可用设备内存 − 权重内存 − 每芯片运行时内存 × 分组芯片数。</x:v>
      </x:c>
    </x:row>
    <x:row r="62" ht="32" customHeight="1">
      <x:c r="A62" s="2" t="str">
        <x:v>显存允许单副本活动并发</x:v>
      </x:c>
      <x:c r="B62" s="14" t="str">
        <x:f>IF(B54="参数有效",MAX(0,ROUNDDOWN(B61/B59,0)),"待填写")</x:f>
        <x:v>待填写</x:v>
      </x:c>
      <x:c r="C62" s="2" t="str">
        <x:v>路</x:v>
      </x:c>
      <x:c r="D62" s="3" t="str">
        <x:v>向下取整。依赖权重与 KV 可切分，单芯片不均衡由供应商检查。</x:v>
      </x:c>
    </x:row>
    <x:row r="63" ht="32" customHeight="1">
      <x:c r="A63" s="2" t="str">
        <x:v>容量要求工作副本数</x:v>
      </x:c>
      <x:c r="B63" s="14" t="str">
        <x:f>IF(B54&lt;&gt;"参数有效","待填写",IF(B62&lt;1,"分组内存不足",ROUNDUP(B56/B62,0)))</x:f>
        <x:v>待填写</x:v>
      </x:c>
      <x:c r="C63" s="2" t="str">
        <x:v>组</x:v>
      </x:c>
      <x:c r="D63" s="3" t="str">
        <x:v>规划活动并发 / 显存允许并发，向上取整。</x:v>
      </x:c>
    </x:row>
    <x:row r="64" ht="32" customHeight="1">
      <x:c r="A64" s="2" t="str">
        <x:v>性能要求工作副本数</x:v>
      </x:c>
      <x:c r="B64" s="14" t="str">
        <x:f>IF(B65&lt;&gt;"证据齐全","待有效压测",MAX(ROUNDUP(B55/B47,0),ROUNDUP(B56/B48,0)))</x:f>
        <x:v>待有效压测</x:v>
      </x:c>
      <x:c r="C64" s="2" t="str">
        <x:v>组</x:v>
      </x:c>
      <x:c r="D64" s="3" t="str">
        <x:v>取请求速率要求与压测并发要求的较大者，按相同副本线性扩容估算。</x:v>
      </x:c>
    </x:row>
    <x:row r="65" ht="32" customHeight="1">
      <x:c r="A65" s="2" t="str">
        <x:v>性能证据检查</x:v>
      </x:c>
      <x:c r="B65" s="14" t="str">
        <x:f>IF(B54&lt;&gt;"参数有效","待容量参数",IF(OR(B24="",B44=""),"待填写模型版本与硬件配置",IF(COUNT(B47:B50)&lt;&gt;4,"待填写有效压测报告",IF(B54&lt;&gt;"参数有效","待容量参数",IF(OR(COUNT(B20:B21)&lt;&gt;2,MIN(B20:B21)&lt;=0),"待填写延迟目标",IF(OR(COUNT(B47:B50)&lt;&gt;4,MIN(B47:B50)&lt;=0,B48&lt;&gt;INT(B48),B51=""),"待填写有效压测报告",IF(OR(B49&gt;B20,B50&gt;B21),"压测延迟未达标",IF(B52&lt;&gt;"已确认","待供应商确认部署兼容性","证据齐全"))))))))</x:f>
        <x:v>待容量参数</x:v>
      </x:c>
      <x:c r="C65" s="2"/>
      <x:c r="D65" s="3" t="str">
        <x:v>同次压测必须达到填写的服务目标，同时完成兼容性确认。</x:v>
      </x:c>
    </x:row>
    <x:row r="66" ht="32" customHeight="1">
      <x:c r="A66" s="2" t="str">
        <x:v>最终工作副本数</x:v>
      </x:c>
      <x:c r="B66" s="14" t="str">
        <x:f>IF(AND(ISNUMBER(B63),ISNUMBER(B64)),MAX(B63,B64),"待核算")</x:f>
        <x:v>待核算</x:v>
      </x:c>
      <x:c r="C66" s="2" t="str">
        <x:v>组</x:v>
      </x:c>
      <x:c r="D66" s="3" t="str">
        <x:v>取显存与性能需求的最大值。每个副本配置相同。</x:v>
      </x:c>
    </x:row>
    <x:row r="67" ht="32" customHeight="1">
      <x:c r="A67" s="2" t="str">
        <x:v>工作副本物理卡数</x:v>
      </x:c>
      <x:c r="B67" s="14" t="str">
        <x:f>IF(ISNUMBER(B66),B66*B36,"待核算")</x:f>
        <x:v>待核算</x:v>
      </x:c>
      <x:c r="C67" s="2" t="str">
        <x:v>张</x:v>
      </x:c>
      <x:c r="D67" s="3" t="str">
        <x:v>最终工作副本数 × 每副本物理卡数。</x:v>
      </x:c>
    </x:row>
    <x:row r="68" ht="32" customHeight="1">
      <x:c r="A68" s="2" t="str">
        <x:v>在线备用物理卡数</x:v>
      </x:c>
      <x:c r="B68" s="14" t="str">
        <x:f>IF(ISNUMBER(B66),B42*B36,"待核算")</x:f>
        <x:v>待核算</x:v>
      </x:c>
      <x:c r="C68" s="2" t="str">
        <x:v>张</x:v>
      </x:c>
      <x:c r="D68" s="3" t="str">
        <x:v>备用副本数 × 每副本物理卡数。需配合故障域与路由设计。</x:v>
      </x:c>
    </x:row>
    <x:row r="69" ht="32" customHeight="1">
      <x:c r="A69" s="2" t="str">
        <x:v>采购物理卡总数</x:v>
      </x:c>
      <x:c r="B69" s="14" t="str">
        <x:f>IF(ISNUMBER(B67),SUM(B67:B68)+B43,"待核算")</x:f>
        <x:v>待核算</x:v>
      </x:c>
      <x:c r="C69" s="2" t="str">
        <x:v>张</x:v>
      </x:c>
      <x:c r="D69" s="3" t="str">
        <x:v>工作卡 + 备用卡 + 辅助服务卡。不含机箱未使用插槽。</x:v>
      </x:c>
    </x:row>
    <x:row r="70" ht="32" customHeight="1">
      <x:c r="A70" s="2" t="str">
        <x:v>主模型计算芯片总数</x:v>
      </x:c>
      <x:c r="B70" s="14" t="str">
        <x:f>IF(ISNUMBER(B67),SUM(B67:B68)*B37,"待核算")</x:f>
        <x:v>待核算</x:v>
      </x:c>
      <x:c r="C70" s="2" t="str">
        <x:v>个</x:v>
      </x:c>
      <x:c r="D70" s="3" t="str">
        <x:v>(工作卡 + 备用卡) × 每卡芯片数。辅助卡型号可能不同，不计入芯片总数。</x:v>
      </x:c>
    </x:row>
    <x:row r="71" ht="32" customHeight="1">
      <x:c r="A71" s="2"/>
      <x:c r="B71" s="2"/>
      <x:c r="C71" s="2"/>
      <x:c r="D71" s="3"/>
    </x:row>
    <x:row r="72" ht="52" customHeight="1">
      <x:c r="A72" s="2" t="str">
        <x:v>适用边界</x:v>
      </x:c>
      <x:c r="B72" s="2"/>
      <x:c r="C72" s="2"/>
      <x:c r="D72" s="3" t="str">
        <x:v>单一主模型，标准 MHA/GQA 或自定义 KV，单副本无权重卸载。模型多副本独立常驻；不估算训练、CPU、内存、磁盘和网络容量。</x:v>
      </x:c>
    </x:row>
    <x:row r="73" ht="52" customHeight="1">
      <x:c r="A73" s="2" t="str">
        <x:v>调压站业务补充</x:v>
      </x:c>
      <x:c r="B73" s="2"/>
      <x:c r="C73" s="2"/>
      <x:c r="D73" s="3" t="str">
        <x:v>站点数量不直接等于卡数。高频遥测由时序/规则服务处理，只将触发诊断或报告的负载计入模型请求；视觉/语音另核算。</x:v>
      </x:c>
    </x:row>
    <x:row r="74" ht="52" customHeight="1">
      <x:c r="A74" s="2" t="str">
        <x:v>采购验收</x:v>
      </x:c>
      <x:c r="B74" s="2"/>
      <x:c r="C74" s="2"/>
      <x:c r="D74" s="3" t="str">
        <x:v>用真实 RAG 文档、工具结果、多轮历史和告警突发压测；验证 P95、失败率、最忙芯片内存、备用切换和整机故障。线性副本扩容需复核共享瓶颈。</x:v>
      </x:c>
    </x:row>
    <x:row r="75" ht="32" customHeight="1">
      <x:c r="A75" s="2"/>
      <x:c r="B75" s="2"/>
      <x:c r="C75" s="2"/>
      <x:c r="D75" s="3"/>
    </x:row>
    <x:row r="76" ht="32" customHeight="1">
      <x:c r="A76" s="2"/>
      <x:c r="B76" s="2"/>
      <x:c r="C76" s="2"/>
      <x:c r="D76" s="3"/>
    </x:row>
    <x:row r="77" ht="32" customHeight="1">
      <x:c r="A77" s="2"/>
      <x:c r="B77" s="2"/>
      <x:c r="C77" s="2"/>
      <x:c r="D77" s="3"/>
    </x:row>
    <x:row r="78" ht="32" customHeight="1">
      <x:c r="A78" s="2"/>
      <x:c r="B78" s="2"/>
      <x:c r="C78" s="2"/>
      <x:c r="D78" s="3"/>
    </x:row>
    <x:row r="79" ht="32" customHeight="1">
      <x:c r="A79" s="2"/>
      <x:c r="B79" s="2"/>
      <x:c r="C79" s="2"/>
      <x:c r="D79" s="3"/>
    </x:row>
    <x:row r="80" ht="32" customHeight="1">
      <x:c r="A80" s="2"/>
      <x:c r="B80" s="2"/>
      <x:c r="C80" s="2"/>
      <x:c r="D80" s="3"/>
    </x:row>
    <x:row r="81" ht="32" customHeight="1">
      <x:c r="A81" s="2"/>
      <x:c r="B81" s="2"/>
      <x:c r="C81" s="2"/>
      <x:c r="D81" s="3"/>
    </x:row>
    <x:row r="82" ht="32" customHeight="1">
      <x:c r="A82" s="2"/>
      <x:c r="B82" s="2"/>
      <x:c r="C82" s="2"/>
      <x:c r="D82" s="3"/>
    </x:row>
    <x:row r="83" ht="32" customHeight="1">
      <x:c r="A83" s="2"/>
      <x:c r="B83" s="2"/>
      <x:c r="C83" s="2"/>
      <x:c r="D83" s="3"/>
    </x:row>
    <x:row r="84" ht="32" customHeight="1">
      <x:c r="A84" s="2"/>
      <x:c r="B84" s="2"/>
      <x:c r="C84" s="2"/>
      <x:c r="D84" s="3"/>
    </x:row>
    <x:row r="85" ht="32" customHeight="1">
      <x:c r="A85" s="2"/>
      <x:c r="B85" s="2"/>
      <x:c r="C85" s="2"/>
      <x:c r="D85" s="3"/>
    </x:row>
  </x:sheetData>
  <x:conditionalFormatting sqref="B54:B54">
    <x:cfRule type="containsText" dxfId="0" priority="1" operator="containsText" text="待"/>
  </x:conditionalFormatting>
  <x:conditionalFormatting sqref="B65:B65">
    <x:cfRule type="containsText" dxfId="1" priority="2" operator="containsText" text="待"/>
  </x:conditionalFormatting>
  <x:conditionalFormatting sqref="B9:B9">
    <x:cfRule type="containsText" dxfId="2" priority="3" operator="containsText" text="待"/>
  </x:conditionalFormatting>
  <x:dataValidations count="21">
    <x:dataValidation type="list" sqref="B28">
      <x:formula1>"标准MHA/GQA,自定义"</x:formula1>
    </x:dataValidation>
    <x:dataValidation type="list" sqref="B52">
      <x:formula1>"待确认,已确认"</x:formula1>
    </x:dataValidation>
    <x:dataValidation type="decimal" operator="between" sqref="B13">
      <x:formula1>0</x:formula1>
      <x:formula2>1000000000000</x:formula2>
    </x:dataValidation>
    <x:dataValidation type="decimal" operator="between" sqref="B14">
      <x:formula1>0</x:formula1>
      <x:formula2>1000000000000</x:formula2>
    </x:dataValidation>
    <x:dataValidation type="decimal" operator="between" sqref="B15">
      <x:formula1>0</x:formula1>
      <x:formula2>1000000000000</x:formula2>
    </x:dataValidation>
    <x:dataValidation type="decimal" operator="between" sqref="B16">
      <x:formula1>0</x:formula1>
      <x:formula2>1000000000000</x:formula2>
    </x:dataValidation>
    <x:dataValidation type="decimal" operator="between" sqref="B17">
      <x:formula1>0</x:formula1>
      <x:formula2>1000000000000</x:formula2>
    </x:dataValidation>
    <x:dataValidation type="decimal" operator="between" sqref="B18">
      <x:formula1>0</x:formula1>
      <x:formula2>1000000000000</x:formula2>
    </x:dataValidation>
    <x:dataValidation type="decimal" operator="between" sqref="B25">
      <x:formula1>0</x:formula1>
      <x:formula2>1000000000000</x:formula2>
    </x:dataValidation>
    <x:dataValidation type="decimal" operator="between" sqref="B26">
      <x:formula1>0</x:formula1>
      <x:formula2>1000000000000</x:formula2>
    </x:dataValidation>
    <x:dataValidation type="decimal" operator="between" sqref="B34">
      <x:formula1>0</x:formula1>
      <x:formula2>1000000000000</x:formula2>
    </x:dataValidation>
    <x:dataValidation type="decimal" operator="between" sqref="B36">
      <x:formula1>0</x:formula1>
      <x:formula2>1000000000000</x:formula2>
    </x:dataValidation>
    <x:dataValidation type="decimal" operator="between" sqref="B37">
      <x:formula1>0</x:formula1>
      <x:formula2>1000000000000</x:formula2>
    </x:dataValidation>
    <x:dataValidation type="decimal" operator="between" sqref="B38">
      <x:formula1>0</x:formula1>
      <x:formula2>1000000000000</x:formula2>
    </x:dataValidation>
    <x:dataValidation type="decimal" operator="between" sqref="B39">
      <x:formula1>0</x:formula1>
      <x:formula2>1000000000000</x:formula2>
    </x:dataValidation>
    <x:dataValidation type="decimal" operator="between" sqref="B40">
      <x:formula1>0</x:formula1>
      <x:formula2>1000000000000</x:formula2>
    </x:dataValidation>
    <x:dataValidation type="decimal" operator="between" sqref="B19">
      <x:formula1>0</x:formula1>
      <x:formula2>1000000000000</x:formula2>
    </x:dataValidation>
    <x:dataValidation type="decimal" operator="between" sqref="B27">
      <x:formula1>0</x:formula1>
      <x:formula2>1000000000000</x:formula2>
    </x:dataValidation>
    <x:dataValidation type="decimal" operator="between" sqref="B41">
      <x:formula1>0</x:formula1>
      <x:formula2>1000000000000</x:formula2>
    </x:dataValidation>
    <x:dataValidation type="decimal" operator="between" sqref="B42">
      <x:formula1>0</x:formula1>
      <x:formula2>1000000000000</x:formula2>
    </x:dataValidation>
    <x:dataValidation type="decimal" operator="between" sqref="B43">
      <x:formula1>0</x:formula1>
      <x:formula2>1000000000000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9" hidden="0" customWidth="1"/>
    <x:col min="3" max="3" width="13" hidden="0" customWidth="1"/>
    <x:col min="4" max="4" width="86" hidden="0" customWidth="1"/>
  </x:cols>
  <x:sheetData>
    <x:row r="1" ht="32" customHeight="1">
      <x:c r="A1" s="2"/>
      <x:c r="B1" s="2"/>
      <x:c r="C1" s="2"/>
      <x:c r="D1" s="3"/>
    </x:row>
    <x:row r="2" ht="32" customHeight="1">
      <x:c r="A2" s="4" t="str">
        <x:v>硬件规格与核算依据</x:v>
      </x:c>
      <x:c r="B2" s="2"/>
      <x:c r="C2" s="2"/>
      <x:c r="D2" s="3"/>
    </x:row>
    <x:row r="3" ht="32" customHeight="1">
      <x:c r="A3" s="2"/>
      <x:c r="B3" s="2"/>
      <x:c r="C3" s="2"/>
      <x:c r="D3" s="3"/>
    </x:row>
    <x:row r="4" ht="32" customHeight="1">
      <x:c r="A4" s="7" t="str">
        <x:v>参考项</x:v>
      </x:c>
      <x:c r="B4" s="7" t="str">
        <x:v>官方标称 / 方法</x:v>
      </x:c>
      <x:c r="C4" s="7" t="str">
        <x:v>核对日期</x:v>
      </x:c>
      <x:c r="D4" s="8" t="str">
        <x:v>来源与使用说明</x:v>
      </x:c>
    </x:row>
    <x:row r="5" ht="66" customHeight="1">
      <x:c r="A5" s="3" t="str">
        <x:v>Atlas 300I Duo</x:v>
      </x:c>
      <x:c r="B5" s="18" t="str">
        <x:v>整卡 48GB / 96GB；双芯片</x:v>
      </x:c>
      <x:c r="C5" s="3" t="str">
        <x:v>2026-10-09</x:v>
      </x:c>
      <x:c r="D5" s="3" t="str">
        <x:v>https://e.huawei.com/cn/products/computing/ascend/atlas-300i-duo?trk=article-ssr-frontend-pulse_little-text-block</x:v>
      </x:c>
    </x:row>
    <x:row r="6" ht="66" customHeight="1">
      <x:c r="A6" s="3" t="str">
        <x:v>Duo 的单芯片口径</x:v>
      </x:c>
      <x:c r="B6" s="18" t="str">
        <x:v>96GB 型号不是单芯片 96GB</x:v>
      </x:c>
      <x:c r="C6" s="3" t="str">
        <x:v>2026-10-09</x:v>
      </x:c>
      <x:c r="D6" s="3" t="str">
        <x:v>https://www.hiascend.com/developer/techArticles/20251212-1 ；官方文章明确单卡双芯片，43GB 为单芯片可用示例。实际可用值按目标硬件测量。</x:v>
      </x:c>
    </x:row>
    <x:row r="7" ht="66" customHeight="1">
      <x:c r="A7" s="3" t="str">
        <x:v>Atlas 300I A2</x:v>
      </x:c>
      <x:c r="B7" s="18" t="str">
        <x:v>官方文章列 64G 型号</x:v>
      </x:c>
      <x:c r="C7" s="3" t="str">
        <x:v>2026-10-09</x:v>
      </x:c>
      <x:c r="D7" s="3" t="str">
        <x:v>https://www.hiascend.com/developer/techArticles/20251212-1 ；仅作 SKU 核对入口，不推定不同版本相同。</x:v>
      </x:c>
    </x:row>
    <x:row r="8" ht="66" customHeight="1">
      <x:c r="A8" s="3" t="str">
        <x:v>Atlas 350</x:v>
      </x:c>
      <x:c r="B8" s="18" t="str">
        <x:v>官网列 112GB HBM</x:v>
      </x:c>
      <x:c r="C8" s="3" t="str">
        <x:v>2026-10-09</x:v>
      </x:c>
      <x:c r="D8" s="3" t="str">
        <x:v>https://www.hiascend.com/hardware/accelerator-card ；需单独核对所采购 SKU、内存单位、计算设备枚举和模型支持。</x:v>
      </x:c>
    </x:row>
    <x:row r="9" ht="66" customHeight="1">
      <x:c r="A9" s="3" t="str">
        <x:v>内存单位</x:v>
      </x:c>
      <x:c r="B9" s="18" t="str">
        <x:v>1 GiB = 2^30 Byte</x:v>
      </x:c>
      <x:c r="C9" s="3" t="str">
        <x:v>定义</x:v>
      </x:c>
      <x:c r="D9" s="3" t="str">
        <x:v>厂商若用十进制 GB：GiB = GB × 10^9 / 2^30；厂商若按二进制标称，则按其说明录入。不能自动把 GB 视作 GiB。</x:v>
      </x:c>
    </x:row>
    <x:row r="10" ht="66" customHeight="1">
      <x:c r="A10" s="3" t="str">
        <x:v>资源核算参考</x:v>
      </x:c>
      <x:c r="B10" s="18" t="str">
        <x:v>区分计算量、权重及其他内存</x:v>
      </x:c>
      <x:c r="C10" s="3" t="str">
        <x:v>2026-10-09</x:v>
      </x:c>
      <x:c r="D10" s="3" t="str">
        <x:v>https://datawhalechina.github.io/diy-llm/chapter3/chapter3_pytorch%E4%B8%8E%E8%B5%84%E6%BA%90%E6%A0%B8%E7%AE%97.html ；此章主要讲训练核算，不直接套用训练 6P 或优化器内存到推理。</x:v>
      </x:c>
    </x:row>
    <x:row r="11" ht="66" customHeight="1">
      <x:c r="A11" s="3" t="str">
        <x:v>标准 KV 存储布局</x:v>
      </x:c>
      <x:c r="B11" s="18" t="str">
        <x:v>K/V 按块、头数、头维度存储</x:v>
      </x:c>
      <x:c r="C11" s="3" t="str">
        <x:v>CANN 9.1.0 / 2026-10-09</x:v>
      </x:c>
      <x:c r="D11" s="3" t="str">
        <x:v>https://www.hiascend.com/doc_center/source/zh/CANNCommunityEdition/910/acce/ascendtb/ascendtb_01_0241.html ；本表据标准 K/V 张量元素数量推导内存。</x:v>
      </x:c>
    </x:row>
    <x:row r="12" ht="66" customHeight="1">
      <x:c r="A12" s="3" t="str">
        <x:v>性能核算方法</x:v>
      </x:c>
      <x:c r="B12" s="18" t="str">
        <x:v>使用达标副本 QPS 与活动并发</x:v>
      </x:c>
      <x:c r="C12" s="3" t="str">
        <x:v>本表工程规划方法</x:v>
      </x:c>
      <x:c r="D12" s="3" t="str">
        <x:v>不把理论 TFLOPS 换算成稳定 Token/s。单副本吞吐测量须固定模型、精度、卡型、分组、上下文、调度和 P95 服务目标。</x:v>
      </x:c>
    </x:row>
    <x:row r="13" ht="66" customHeight="1">
      <x:c r="A13" s="3" t="str">
        <x:v>规划假设</x:v>
      </x:c>
      <x:c r="B13" s="18" t="str">
        <x:v>20% 增长、10% 权重、85% 可用</x:v>
      </x:c>
      <x:c r="C13" s="3" t="str">
        <x:v>可修改，未实测</x:v>
      </x:c>
      <x:c r="D13" s="3" t="str">
        <x:v>备用副本默认 1、辅助卡默认 0、KV 复制默认 1、FP16 权重与 KV 默认 2 Byte。默认值须由研发确认；没有任何客户性能实测。</x:v>
      </x:c>
    </x:row>
    <x:row r="14" ht="66" customHeight="1">
      <x:c r="A14" s="3" t="str">
        <x:v>多个业务与辅助模型</x:v>
      </x:c>
      <x:c r="B14" s="18" t="str">
        <x:v>主模型调用分别汇总</x:v>
      </x:c>
      <x:c r="C14" s="3" t="str">
        <x:v>填写指引</x:v>
      </x:c>
      <x:c r="D14" s="3" t="str">
        <x:v>客户可分别统计告警诊断、知识问答、报告生成等峰值；仅将共享主模型的调用累加。Embedding/Reranker/视觉/语音的独立用卡填入辅助卡。</x:v>
      </x:c>
    </x:row>
    <x:row r="15" ht="66" customHeight="1">
      <x:c r="A15" s="3" t="str">
        <x:v>硬件销售核对</x:v>
      </x:c>
      <x:c r="B15" s="18" t="str">
        <x:v>卡与模组不可混用采购口径</x:v>
      </x:c>
      <x:c r="C15" s="3" t="str">
        <x:v>填写指引</x:v>
      </x:c>
      <x:c r="D15" s="3" t="str">
        <x:v>Atlas 800I 等整机常使用集成模组。若采购整机，按报价 BOM 明确设备数、模组数与整机台数；不要把模组数称作可单独购买的 PCIe 卡数。</x:v>
      </x:c>
    </x:row>
    <x:row r="16" ht="32" customHeight="1">
      <x:c r="A16" s="2"/>
      <x:c r="B16" s="2"/>
      <x:c r="C16" s="2"/>
      <x:c r="D16" s="3"/>
    </x:row>
    <x:row r="17" ht="32" customHeight="1">
      <x:c r="A17" s="2"/>
      <x:c r="B17" s="2"/>
      <x:c r="C17" s="2"/>
      <x:c r="D17" s="3"/>
    </x:row>
    <x:row r="18" ht="32" customHeight="1">
      <x:c r="A18" s="2" t="str">
        <x:v>粗估默认值（本表预算假设，未实测）</x:v>
      </x:c>
      <x:c r="B18" s="2"/>
      <x:c r="C18" s="2"/>
      <x:c r="D18" s="3"/>
    </x:row>
    <x:row r="19" ht="42" customHeight="1">
      <x:c r="A19" s="8" t="str">
        <x:v>模型参数档位</x:v>
      </x:c>
      <x:c r="B19" s="8" t="str">
        <x:v>总参数量（B）</x:v>
      </x:c>
      <x:c r="C19" s="8" t="str">
        <x:v>KV预算（KiB/Token）</x:v>
      </x:c>
      <x:c r="D19" s="8" t="str">
        <x:v>说明</x:v>
      </x:c>
    </x:row>
    <x:row r="20" ht="42" customHeight="1">
      <x:c r="A20" s="3" t="str">
        <x:v>7B</x:v>
      </x:c>
      <x:c r="B20" s="3" t="n">
        <x:v>7</x:v>
      </x:c>
      <x:c r="C20" s="3" t="n">
        <x:v>128</x:v>
      </x:c>
      <x:c r="D20" s="3" t="str">
        <x:v>通用结构预算，不绑定某个实际模型</x:v>
      </x:c>
    </x:row>
    <x:row r="21" ht="42" customHeight="1">
      <x:c r="A21" s="3" t="str">
        <x:v>14B</x:v>
      </x:c>
      <x:c r="B21" s="3" t="n">
        <x:v>14</x:v>
      </x:c>
      <x:c r="C21" s="3" t="n">
        <x:v>160</x:v>
      </x:c>
      <x:c r="D21" s="3" t="str">
        <x:v>默认档位，不代表模型选型结论</x:v>
      </x:c>
    </x:row>
    <x:row r="22" ht="42" customHeight="1">
      <x:c r="A22" s="3" t="str">
        <x:v>32B</x:v>
      </x:c>
      <x:c r="B22" s="3" t="n">
        <x:v>32</x:v>
      </x:c>
      <x:c r="C22" s="3" t="n">
        <x:v>320</x:v>
      </x:c>
      <x:c r="D22" s="3" t="str">
        <x:v>参数与KV档位同时随选择变化</x:v>
      </x:c>
    </x:row>
    <x:row r="23" ht="42" customHeight="1">
      <x:c r="A23" s="3" t="str">
        <x:v>70B</x:v>
      </x:c>
      <x:c r="B23" s="3" t="n">
        <x:v>70</x:v>
      </x:c>
      <x:c r="C23" s="3" t="n">
        <x:v>512</x:v>
      </x:c>
      <x:c r="D23" s="3" t="str">
        <x:v>不适用于总参数大于此档位的MoE或特殊缓存结构</x:v>
      </x:c>
    </x:row>
    <x:row r="24" ht="42" customHeight="1">
      <x:c r="A24" s="3"/>
      <x:c r="B24" s="3"/>
      <x:c r="C24" s="3"/>
      <x:c r="D24" s="3"/>
    </x:row>
    <x:row r="25" ht="42" customHeight="1">
      <x:c r="A25" s="8" t="str">
        <x:v>共同内存假设</x:v>
      </x:c>
      <x:c r="B25" s="8" t="str">
        <x:v>值</x:v>
      </x:c>
      <x:c r="C25" s="8" t="str">
        <x:v>单位</x:v>
      </x:c>
      <x:c r="D25" s="8" t="str">
        <x:v>说明</x:v>
      </x:c>
    </x:row>
    <x:row r="26" ht="42" customHeight="1">
      <x:c r="A26" s="3" t="str">
        <x:v>权重字节数</x:v>
      </x:c>
      <x:c r="B26" s="3" t="n">
        <x:v>2</x:v>
      </x:c>
      <x:c r="C26" s="3" t="str">
        <x:v>Byte/参数</x:v>
      </x:c>
      <x:c r="D26" s="3" t="str">
        <x:v>按FP16/BF16，不要求客户了解量化</x:v>
      </x:c>
    </x:row>
    <x:row r="27" ht="42" customHeight="1">
      <x:c r="A27" s="3" t="str">
        <x:v>权重额外占用</x:v>
      </x:c>
      <x:c r="B27" s="19" t="n">
        <x:v>0.1</x:v>
      </x:c>
      <x:c r="C27" s="3" t="str">
        <x:v>比例</x:v>
      </x:c>
      <x:c r="D27" s="3" t="str">
        <x:v>覆盖未单列的权重开销</x:v>
      </x:c>
    </x:row>
    <x:row r="28" ht="42" customHeight="1">
      <x:c r="A28" s="3" t="str">
        <x:v>设备内存可用比例</x:v>
      </x:c>
      <x:c r="B28" s="19" t="n">
        <x:v>0.85</x:v>
      </x:c>
      <x:c r="C28" s="3" t="str">
        <x:v>比例</x:v>
      </x:c>
      <x:c r="D28" s="3" t="str">
        <x:v>设备余量，与运行时工作区分别计入</x:v>
      </x:c>
    </x:row>
    <x:row r="29" ht="42" customHeight="1">
      <x:c r="A29" s="3" t="str">
        <x:v>每芯片运行时预算</x:v>
      </x:c>
      <x:c r="B29" s="3" t="n">
        <x:v>6</x:v>
      </x:c>
      <x:c r="C29" s="3" t="str">
        <x:v>GiB</x:v>
      </x:c>
      <x:c r="D29" s="3" t="str">
        <x:v>简化占位预算，未实测</x:v>
      </x:c>
    </x:row>
    <x:row r="30" ht="42" customHeight="1">
      <x:c r="A30" s="3" t="str">
        <x:v>KV额外系数</x:v>
      </x:c>
      <x:c r="B30" s="3" t="n">
        <x:v>1.2</x:v>
      </x:c>
      <x:c r="C30" s="3" t="str">
        <x:v>倍</x:v>
      </x:c>
      <x:c r="D30" s="3" t="str">
        <x:v>缓存块、复制等额外占用的简化余量</x:v>
      </x:c>
    </x:row>
    <x:row r="31" ht="60" customHeight="1">
      <x:c r="A31" s="3" t="str">
        <x:v>默认能力假设</x:v>
      </x:c>
      <x:c r="B31" s="3" t="str">
        <x:v>4路 / 10次模型调用每分钟</x:v>
      </x:c>
      <x:c r="C31" s="3" t="str">
        <x:v>每副本</x:v>
      </x:c>
      <x:c r="D31" s="3" t="str">
        <x:v>人为预算假设，不是华为保证的性能；使用者可在粗估页修改</x:v>
      </x:c>
    </x:row>
    <x:row r="32" ht="32" customHeight="1">
      <x:c r="A32" s="2"/>
      <x:c r="B32" s="2"/>
      <x:c r="C32" s="2"/>
      <x:c r="D32" s="3"/>
    </x:row>
    <x:row r="33" ht="32" customHeight="1">
      <x:c r="A33" s="2"/>
      <x:c r="B33" s="2"/>
      <x:c r="C33" s="2"/>
      <x:c r="D33" s="3"/>
    </x:row>
    <x:row r="34" ht="32" customHeight="1">
      <x:c r="A34" s="2"/>
      <x:c r="B34" s="2"/>
      <x:c r="C34" s="2"/>
      <x:c r="D34" s="3"/>
    </x:row>
    <x:row r="35" ht="32" customHeight="1">
      <x:c r="A35" s="2"/>
      <x:c r="B35" s="2"/>
      <x:c r="C35" s="2"/>
      <x:c r="D35" s="3"/>
    </x:row>
    <x:row r="36" ht="32" customHeight="1">
      <x:c r="A36" s="2"/>
      <x:c r="B36" s="2"/>
      <x:c r="C36" s="2"/>
      <x:c r="D36" s="3"/>
    </x:row>
    <x:row r="37" ht="32" customHeight="1">
      <x:c r="A37" s="2"/>
      <x:c r="B37" s="2"/>
      <x:c r="C37" s="2"/>
      <x:c r="D37" s="3"/>
    </x:row>
    <x:row r="38" ht="32" customHeight="1">
      <x:c r="A38" s="2"/>
      <x:c r="B38" s="2"/>
      <x:c r="C38" s="2"/>
      <x:c r="D38" s="3"/>
    </x:row>
    <x:row r="39" ht="32" customHeight="1">
      <x:c r="A39" s="2"/>
      <x:c r="B39" s="2"/>
      <x:c r="C39" s="2"/>
      <x:c r="D39" s="3"/>
    </x:row>
    <x:row r="40" ht="32" customHeight="1">
      <x:c r="A40" s="2"/>
      <x:c r="B40" s="2"/>
      <x:c r="C40" s="2"/>
      <x:c r="D40" s="3"/>
    </x:row>
    <x:row r="41" ht="32" customHeight="1">
      <x:c r="A41" s="2"/>
      <x:c r="B41" s="2"/>
      <x:c r="C41" s="2"/>
      <x:c r="D41" s="3"/>
    </x:row>
    <x:row r="42" ht="32" customHeight="1">
      <x:c r="A42" s="2"/>
      <x:c r="B42" s="2"/>
      <x:c r="C42" s="2"/>
      <x:c r="D42" s="3"/>
    </x:row>
    <x:row r="43" ht="32" customHeight="1">
      <x:c r="A43" s="2"/>
      <x:c r="B43" s="2"/>
      <x:c r="C43" s="2"/>
      <x:c r="D43" s="3"/>
    </x:row>
    <x:row r="44" ht="32" customHeight="1">
      <x:c r="A44" s="2"/>
      <x:c r="B44" s="2"/>
      <x:c r="C44" s="2"/>
      <x:c r="D44" s="3"/>
    </x:row>
    <x:row r="45" ht="32" customHeight="1">
      <x:c r="A45" s="2"/>
      <x:c r="B45" s="2"/>
      <x:c r="C45" s="2"/>
      <x:c r="D45" s="3"/>
    </x:row>
    <x:row r="46" ht="32" customHeight="1">
      <x:c r="A46" s="2"/>
      <x:c r="B46" s="2"/>
      <x:c r="C46" s="2"/>
      <x:c r="D46" s="3"/>
    </x:row>
    <x:row r="47" ht="32" customHeight="1">
      <x:c r="A47" s="2"/>
      <x:c r="B47" s="2"/>
      <x:c r="C47" s="2"/>
      <x:c r="D47" s="3"/>
    </x:row>
    <x:row r="48" ht="32" customHeight="1">
      <x:c r="A48" s="2"/>
      <x:c r="B48" s="2"/>
      <x:c r="C48" s="2"/>
      <x:c r="D48" s="3"/>
    </x:row>
    <x:row r="49" ht="32" customHeight="1">
      <x:c r="A49" s="2"/>
      <x:c r="B49" s="2"/>
      <x:c r="C49" s="2"/>
      <x:c r="D49" s="3"/>
    </x:row>
    <x:row r="50" ht="32" customHeight="1">
      <x:c r="A50" s="2"/>
      <x:c r="B50" s="2"/>
      <x:c r="C50" s="2"/>
      <x:c r="D50" s="3"/>
    </x:row>
    <x:row r="51" ht="32" customHeight="1">
      <x:c r="A51" s="2"/>
      <x:c r="B51" s="2"/>
      <x:c r="C51" s="2"/>
      <x:c r="D51" s="3"/>
    </x:row>
    <x:row r="52" ht="32" customHeight="1">
      <x:c r="A52" s="2"/>
      <x:c r="B52" s="2"/>
      <x:c r="C52" s="2"/>
      <x:c r="D52" s="3"/>
    </x:row>
    <x:row r="53" ht="32" customHeight="1">
      <x:c r="A53" s="2"/>
      <x:c r="B53" s="2"/>
      <x:c r="C53" s="2"/>
      <x:c r="D53" s="3"/>
    </x:row>
    <x:row r="54" ht="32" customHeight="1">
      <x:c r="A54" s="2"/>
      <x:c r="B54" s="2"/>
      <x:c r="C54" s="2"/>
      <x:c r="D54" s="3"/>
    </x:row>
    <x:row r="55" ht="32" customHeight="1">
      <x:c r="A55" s="2"/>
      <x:c r="B55" s="2"/>
      <x:c r="C55" s="2"/>
      <x:c r="D55" s="3"/>
    </x:row>
    <x:row r="56" ht="32" customHeight="1">
      <x:c r="A56" s="2"/>
      <x:c r="B56" s="2"/>
      <x:c r="C56" s="2"/>
      <x:c r="D56" s="3"/>
    </x:row>
    <x:row r="57" ht="32" customHeight="1">
      <x:c r="A57" s="2"/>
      <x:c r="B57" s="2"/>
      <x:c r="C57" s="2"/>
      <x:c r="D57" s="3"/>
    </x:row>
    <x:row r="58" ht="32" customHeight="1">
      <x:c r="A58" s="2"/>
      <x:c r="B58" s="2"/>
      <x:c r="C58" s="2"/>
      <x:c r="D58" s="3"/>
    </x:row>
    <x:row r="59" ht="32" customHeight="1">
      <x:c r="A59" s="2"/>
      <x:c r="B59" s="2"/>
      <x:c r="C59" s="2"/>
      <x:c r="D59" s="3"/>
    </x:row>
    <x:row r="60" ht="32" customHeight="1">
      <x:c r="A60" s="2"/>
      <x:c r="B60" s="2"/>
      <x:c r="C60" s="2"/>
      <x:c r="D60" s="3"/>
    </x:row>
    <x:row r="61" ht="32" customHeight="1">
      <x:c r="A61" s="2"/>
      <x:c r="B61" s="2"/>
      <x:c r="C61" s="2"/>
      <x:c r="D61" s="3"/>
    </x:row>
    <x:row r="62" ht="32" customHeight="1">
      <x:c r="A62" s="2"/>
      <x:c r="B62" s="2"/>
      <x:c r="C62" s="2"/>
      <x:c r="D62" s="3"/>
    </x:row>
    <x:row r="63" ht="32" customHeight="1">
      <x:c r="A63" s="2"/>
      <x:c r="B63" s="2"/>
      <x:c r="C63" s="2"/>
      <x:c r="D63" s="3"/>
    </x:row>
    <x:row r="64" ht="32" customHeight="1">
      <x:c r="A64" s="2"/>
      <x:c r="B64" s="2"/>
      <x:c r="C64" s="2"/>
      <x:c r="D64" s="3"/>
    </x:row>
    <x:row r="65" ht="32" customHeight="1">
      <x:c r="A65" s="2"/>
      <x:c r="B65" s="2"/>
      <x:c r="C65" s="2"/>
      <x:c r="D65" s="3"/>
    </x:row>
    <x:row r="66" ht="32" customHeight="1">
      <x:c r="A66" s="2"/>
      <x:c r="B66" s="2"/>
      <x:c r="C66" s="2"/>
      <x:c r="D66" s="3"/>
    </x:row>
    <x:row r="67" ht="32" customHeight="1">
      <x:c r="A67" s="2"/>
      <x:c r="B67" s="2"/>
      <x:c r="C67" s="2"/>
      <x:c r="D67" s="3"/>
    </x:row>
    <x:row r="68" ht="32" customHeight="1">
      <x:c r="A68" s="2"/>
      <x:c r="B68" s="2"/>
      <x:c r="C68" s="2"/>
      <x:c r="D68" s="3"/>
    </x:row>
    <x:row r="69" ht="32" customHeight="1">
      <x:c r="A69" s="2"/>
      <x:c r="B69" s="2"/>
      <x:c r="C69" s="2"/>
      <x:c r="D69" s="3"/>
    </x:row>
    <x:row r="70" ht="32" customHeight="1">
      <x:c r="A70" s="2"/>
      <x:c r="B70" s="2"/>
      <x:c r="C70" s="2"/>
      <x:c r="D70" s="3"/>
    </x:row>
    <x:row r="71" ht="32" customHeight="1">
      <x:c r="A71" s="2"/>
      <x:c r="B71" s="2"/>
      <x:c r="C71" s="2"/>
      <x:c r="D71" s="3"/>
    </x:row>
    <x:row r="72" ht="32" customHeight="1">
      <x:c r="A72" s="2"/>
      <x:c r="B72" s="2"/>
      <x:c r="C72" s="2"/>
      <x:c r="D72" s="3"/>
    </x:row>
    <x:row r="73" ht="32" customHeight="1">
      <x:c r="A73" s="2"/>
      <x:c r="B73" s="2"/>
      <x:c r="C73" s="2"/>
      <x:c r="D73" s="3"/>
    </x:row>
    <x:row r="74" ht="32" customHeight="1">
      <x:c r="A74" s="2"/>
      <x:c r="B74" s="2"/>
      <x:c r="C74" s="2"/>
      <x:c r="D74" s="3"/>
    </x:row>
    <x:row r="75" ht="32" customHeight="1">
      <x:c r="A75" s="2"/>
      <x:c r="B75" s="2"/>
      <x:c r="C75" s="2"/>
      <x:c r="D75" s="3"/>
    </x:row>
    <x:row r="76" ht="32" customHeight="1">
      <x:c r="A76" s="2"/>
      <x:c r="B76" s="2"/>
      <x:c r="C76" s="2"/>
      <x:c r="D76" s="3"/>
    </x:row>
    <x:row r="77" ht="32" customHeight="1">
      <x:c r="A77" s="2"/>
      <x:c r="B77" s="2"/>
      <x:c r="C77" s="2"/>
      <x:c r="D77" s="3"/>
    </x:row>
    <x:row r="78" ht="32" customHeight="1">
      <x:c r="A78" s="2"/>
      <x:c r="B78" s="2"/>
      <x:c r="C78" s="2"/>
      <x:c r="D78" s="3"/>
    </x:row>
    <x:row r="79" ht="32" customHeight="1">
      <x:c r="A79" s="2"/>
      <x:c r="B79" s="2"/>
      <x:c r="C79" s="2"/>
      <x:c r="D79" s="3"/>
    </x:row>
    <x:row r="80" ht="32" customHeight="1">
      <x:c r="A80" s="2"/>
      <x:c r="B80" s="2"/>
      <x:c r="C80" s="2"/>
      <x:c r="D80" s="3"/>
    </x:row>
    <x:row r="81" ht="32" customHeight="1">
      <x:c r="A81" s="2"/>
      <x:c r="B81" s="2"/>
      <x:c r="C81" s="2"/>
      <x:c r="D81" s="3"/>
    </x:row>
    <x:row r="82" ht="32" customHeight="1">
      <x:c r="A82" s="2"/>
      <x:c r="B82" s="2"/>
      <x:c r="C82" s="2"/>
      <x:c r="D82" s="3"/>
    </x:row>
    <x:row r="83" ht="32" customHeight="1">
      <x:c r="A83" s="2"/>
      <x:c r="B83" s="2"/>
      <x:c r="C83" s="2"/>
      <x:c r="D83" s="3"/>
    </x:row>
    <x:row r="84" ht="32" customHeight="1">
      <x:c r="A84" s="2"/>
      <x:c r="B84" s="2"/>
      <x:c r="C84" s="2"/>
      <x:c r="D84" s="3"/>
    </x:row>
    <x:row r="85" ht="32" customHeight="1">
      <x:c r="A85" s="2"/>
      <x:c r="B85" s="2"/>
      <x:c r="C85" s="2"/>
      <x:c r="D85" s="3"/>
    </x:row>
  </x:sheetData>
  <x:pageMargins left="0.7" right="0.7" top="0.75" bottom="0.75" header="0.3" footer="0.3"/>
</x:worksheet>
</file>